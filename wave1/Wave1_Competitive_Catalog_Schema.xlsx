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ield_Dictionary" sheetId="2" state="visible" r:id="rId4"/>
    <sheet name="Taxonomy_Map" sheetId="3" state="visible" r:id="rId5"/>
    <sheet name="Overlap_Matrix" sheetId="4" state="visible" r:id="rId6"/>
    <sheet name="Fabric_Normalization" sheetId="5" state="visible" r:id="rId7"/>
    <sheet name="Wave1_Catalog" sheetId="6" state="visible" r:id="rId8"/>
    <sheet name="QA_Checks" sheetId="7" state="visible" r:id="rId9"/>
    <sheet name="Source_Lo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<sst xmlns="http://schemas.openxmlformats.org/spreadsheetml/2006/main" count="1141" uniqueCount="568">
  <si>
    <t xml:space="preserve">Competitive Product Catalog: Wave 1 (Women's Tights)</t>
  </si>
  <si>
    <t xml:space="preserve">Consello internal working file. Uses lululemon's internal category names (no plan figures). Do not share outside the deal team.</t>
  </si>
  <si>
    <t xml:space="preserve">Purpose</t>
  </si>
  <si>
    <t xml:space="preserve">One product structure for Alo, lululemon, Vuori, Athleta and Beyond Yoga, mapped to lululemon's own division, class and subclass names, so competitor assortment can be compared directly against internal plan and actuals.</t>
  </si>
  <si>
    <t xml:space="preserve">Wave 1 scope</t>
  </si>
  <si>
    <t xml:space="preserve">Women's Tights (leggings and capris). Biker shorts go to Shorts in a later wave. Leggings sold only inside a set are still captured as single items.</t>
  </si>
  <si>
    <t xml:space="preserve">Unit of count</t>
  </si>
  <si>
    <t xml:space="preserve">One row per style-color. A style is brand + brand_style_code. Length variants (lululemon *Regular / *Short / *Tall) are one style with length_variant recorded, so lululemon's style count is not inflated. Vuori and Beyond Yoga publish one web address per color; the crawler collapses these on brand_style_code.</t>
  </si>
  <si>
    <t xml:space="preserve">Pricing rule</t>
  </si>
  <si>
    <t xml:space="preserve">Always store list_price and selling_price separately, plus capture_date and any sitewide promotion text. Athleta was running 30% off everything (Friends &amp; Family) on 30 Sep 2026, so Athleta selling prices captured that week are promotional.</t>
  </si>
  <si>
    <t xml:space="preserve">Done test</t>
  </si>
  <si>
    <t xml:space="preserve">Wave 1 is done when every brand clears 90% fill on the required fields (QA_Checks tab) AND the style count reconciles to within 5% of the brand's own leggings category count.</t>
  </si>
  <si>
    <t xml:space="preserve">Tabs</t>
  </si>
  <si>
    <t xml:space="preserve">Field_Dictionary: every column, definition, allowed values, how it is extracted.  Taxonomy_Map: lululemon class to each brand's category name and URL.  Overlap_Matrix: which brands sell each class, plus depth test once counts come in.  Fabric_Normalization: proprietary fabric and line names to fiber and properties.  Wave1_Catalog: crawler output lands here (one example row).  QA_Checks: fill rate and reconciliation by brand.  Source_Log: platform, URL patterns and collection notes per site.</t>
  </si>
  <si>
    <t xml:space="preserve">Color legend</t>
  </si>
  <si>
    <t xml:space="preserve">Blue text = typed-in value. Black = formula. Green = pulls from another tab. Yellow fill = input you should fill in or confirm.</t>
  </si>
  <si>
    <t xml:space="preserve">Data source</t>
  </si>
  <si>
    <t xml:space="preserve">Public websites only, for all five brands including lululemon. No client internal data feeds the catalog. Expect errors in fields sites don't state plainly (franchise, activity, core vs seasonal). Those fields carry extraction_method so reviewers know what to check.</t>
  </si>
  <si>
    <t xml:space="preserve">Collection practice</t>
  </si>
  <si>
    <t xml:space="preserve">Crawler respects robots.txt, runs one request every 3 seconds per site, uses no logins, and stores raw pages for audit. Scope set by engagement lead, 30 Sep 2026.</t>
  </si>
  <si>
    <t xml:space="preserve">#</t>
  </si>
  <si>
    <t xml:space="preserve">Field</t>
  </si>
  <si>
    <t xml:space="preserve">Group</t>
  </si>
  <si>
    <t xml:space="preserve">Definition</t>
  </si>
  <si>
    <t xml:space="preserve">Type / format</t>
  </si>
  <si>
    <t xml:space="preserve">Allowed values</t>
  </si>
  <si>
    <t xml:space="preserve">Where it comes from</t>
  </si>
  <si>
    <t xml:space="preserve">Extraction</t>
  </si>
  <si>
    <t xml:space="preserve">Required W1</t>
  </si>
  <si>
    <t xml:space="preserve">Example (Vuori FormRefined Legging, 30 Sep 2026)</t>
  </si>
  <si>
    <t xml:space="preserve">capture_date</t>
  </si>
  <si>
    <t xml:space="preserve">Identity</t>
  </si>
  <si>
    <t xml:space="preserve">Date the page was collected</t>
  </si>
  <si>
    <t xml:space="preserve">YYYY-MM-DD</t>
  </si>
  <si>
    <t xml:space="preserve">Crawler clock</t>
  </si>
  <si>
    <t xml:space="preserve">Auto</t>
  </si>
  <si>
    <t xml:space="preserve">Y</t>
  </si>
  <si>
    <t xml:space="preserve">2026-09-30</t>
  </si>
  <si>
    <t xml:space="preserve">brand</t>
  </si>
  <si>
    <t xml:space="preserve">Brand name</t>
  </si>
  <si>
    <t xml:space="preserve">Text</t>
  </si>
  <si>
    <t xml:space="preserve">Alo; lululemon; Vuori; Athleta; Beyond Yoga</t>
  </si>
  <si>
    <t xml:space="preserve">Config</t>
  </si>
  <si>
    <t xml:space="preserve">Vuori</t>
  </si>
  <si>
    <t xml:space="preserve">source_url</t>
  </si>
  <si>
    <t xml:space="preserve">Product page address as collected</t>
  </si>
  <si>
    <t xml:space="preserve">URL</t>
  </si>
  <si>
    <t xml:space="preserve">Category page crawl</t>
  </si>
  <si>
    <t xml:space="preserve">https://vuoriclothing.com/products/womens-formrefined-legging-french-roast</t>
  </si>
  <si>
    <t xml:space="preserve">brand_style_code</t>
  </si>
  <si>
    <t xml:space="preserve">Brand's own style number, without color suffix</t>
  </si>
  <si>
    <t xml:space="preserve">Product data, image file names, SKU prefix</t>
  </si>
  <si>
    <t xml:space="preserve">Structured</t>
  </si>
  <si>
    <t xml:space="preserve">VW4494</t>
  </si>
  <si>
    <t xml:space="preserve">style_group_key</t>
  </si>
  <si>
    <t xml:space="preserve">Key used to count styles. Equals brand_style_code, except lululemon, where it is the style name with the length suffix removed</t>
  </si>
  <si>
    <t xml:space="preserve">Built by crawler</t>
  </si>
  <si>
    <t xml:space="preserve">vuori|vw4494</t>
  </si>
  <si>
    <t xml:space="preserve">style_name</t>
  </si>
  <si>
    <t xml:space="preserve">Product name as shown</t>
  </si>
  <si>
    <t xml:space="preserve">Page title / product data</t>
  </si>
  <si>
    <t xml:space="preserve">FormRefined Legging</t>
  </si>
  <si>
    <t xml:space="preserve">color_name</t>
  </si>
  <si>
    <t xml:space="preserve">Brand color name</t>
  </si>
  <si>
    <t xml:space="preserve">Variant option</t>
  </si>
  <si>
    <t xml:space="preserve">French Roast</t>
  </si>
  <si>
    <t xml:space="preserve">style_color_id</t>
  </si>
  <si>
    <t xml:space="preserve">brand|brand_style_code|color_name, lowercased</t>
  </si>
  <si>
    <t xml:space="preserve">Unique key</t>
  </si>
  <si>
    <t xml:space="preserve">vuori|vw4494|french roast</t>
  </si>
  <si>
    <t xml:space="preserve">length_variant</t>
  </si>
  <si>
    <t xml:space="preserve">Length version of the same style</t>
  </si>
  <si>
    <t xml:space="preserve">Regular; Short; Tall; Petite; n/a</t>
  </si>
  <si>
    <t xml:space="preserve">Name suffix or option</t>
  </si>
  <si>
    <t xml:space="preserve">Rule</t>
  </si>
  <si>
    <t xml:space="preserve">N</t>
  </si>
  <si>
    <t xml:space="preserve">n/a</t>
  </si>
  <si>
    <t xml:space="preserve">gender</t>
  </si>
  <si>
    <t xml:space="preserve">Gender merchandised</t>
  </si>
  <si>
    <t xml:space="preserve">Women; Men; Unisex; Girls</t>
  </si>
  <si>
    <t xml:space="preserve">Category page</t>
  </si>
  <si>
    <t xml:space="preserve">Women</t>
  </si>
  <si>
    <t xml:space="preserve">brand_category_path</t>
  </si>
  <si>
    <t xml:space="preserve">Taxonomy</t>
  </si>
  <si>
    <t xml:space="preserve">Brand's own category where the item was found</t>
  </si>
  <si>
    <t xml:space="preserve">Women &gt; Leggings</t>
  </si>
  <si>
    <t xml:space="preserve">lulu_division</t>
  </si>
  <si>
    <t xml:space="preserve">lululemon division</t>
  </si>
  <si>
    <t xml:space="preserve">lulu Womens; lulu Mens; lulu Accessories; lulu Footwear</t>
  </si>
  <si>
    <t xml:space="preserve">Taxonomy_Map rule</t>
  </si>
  <si>
    <t xml:space="preserve">lulu Womens</t>
  </si>
  <si>
    <t xml:space="preserve">lulu_class</t>
  </si>
  <si>
    <t xml:space="preserve">lululemon class</t>
  </si>
  <si>
    <t xml:space="preserve">See Taxonomy_Map</t>
  </si>
  <si>
    <t xml:space="preserve">Womens Pants</t>
  </si>
  <si>
    <t xml:space="preserve">lulu_subclass</t>
  </si>
  <si>
    <t xml:space="preserve">lululemon subclass</t>
  </si>
  <si>
    <t xml:space="preserve">Womens Tights</t>
  </si>
  <si>
    <t xml:space="preserve">activity</t>
  </si>
  <si>
    <t xml:space="preserve">Primary activity, mapped to lululemon's list</t>
  </si>
  <si>
    <t xml:space="preserve">Yoga; Train; Run; Tennis; Golf; Lounge; Social; Sweatlife; Recovery; Hike; Swim; Travel; Unassigned</t>
  </si>
  <si>
    <t xml:space="preserve">Brand activity tags and copy</t>
  </si>
  <si>
    <t xml:space="preserve">LLM + review</t>
  </si>
  <si>
    <t xml:space="preserve">Unassigned</t>
  </si>
  <si>
    <t xml:space="preserve">brand_line</t>
  </si>
  <si>
    <t xml:space="preserve">Brand franchise or product line</t>
  </si>
  <si>
    <t xml:space="preserve">Name, collection tags</t>
  </si>
  <si>
    <t xml:space="preserve">FormRefined</t>
  </si>
  <si>
    <t xml:space="preserve">list_price_usd</t>
  </si>
  <si>
    <t xml:space="preserve">Commercial</t>
  </si>
  <si>
    <t xml:space="preserve">Full (not reduced) price</t>
  </si>
  <si>
    <t xml:space="preserve">Number, USD</t>
  </si>
  <si>
    <t xml:space="preserve">Compare-at or original price</t>
  </si>
  <si>
    <t xml:space="preserve">118</t>
  </si>
  <si>
    <t xml:space="preserve">selling_price_usd</t>
  </si>
  <si>
    <t xml:space="preserve">Price a shopper pays that day</t>
  </si>
  <si>
    <t xml:space="preserve">Current price</t>
  </si>
  <si>
    <t xml:space="preserve">markdown_pct</t>
  </si>
  <si>
    <t xml:space="preserve">1 minus selling / list</t>
  </si>
  <si>
    <t xml:space="preserve">Fraction</t>
  </si>
  <si>
    <t xml:space="preserve">0 to 1</t>
  </si>
  <si>
    <t xml:space="preserve">Calculated</t>
  </si>
  <si>
    <t xml:space="preserve">Formula</t>
  </si>
  <si>
    <t xml:space="preserve">0</t>
  </si>
  <si>
    <t xml:space="preserve">on_promo_flag</t>
  </si>
  <si>
    <t xml:space="preserve">Selling price below list, or a sitewide promotion is live</t>
  </si>
  <si>
    <t xml:space="preserve">Y/N</t>
  </si>
  <si>
    <t xml:space="preserve">Y; N</t>
  </si>
  <si>
    <t xml:space="preserve">Price fields, promo banner</t>
  </si>
  <si>
    <t xml:space="preserve">sitewide_promo_text</t>
  </si>
  <si>
    <t xml:space="preserve">Promotion banner text on capture date</t>
  </si>
  <si>
    <t xml:space="preserve">Homepage banner</t>
  </si>
  <si>
    <t xml:space="preserve">is_new_flag</t>
  </si>
  <si>
    <t xml:space="preserve">Marked New / New Arrival</t>
  </si>
  <si>
    <t xml:space="preserve">Badge, tags</t>
  </si>
  <si>
    <t xml:space="preserve">size_range</t>
  </si>
  <si>
    <t xml:space="preserve">Size</t>
  </si>
  <si>
    <t xml:space="preserve">Smallest to largest size offered</t>
  </si>
  <si>
    <t xml:space="preserve">Size options</t>
  </si>
  <si>
    <t xml:space="preserve">XXS-XXL</t>
  </si>
  <si>
    <t xml:space="preserve">size_count</t>
  </si>
  <si>
    <t xml:space="preserve">Number of sizes offered</t>
  </si>
  <si>
    <t xml:space="preserve">Integer</t>
  </si>
  <si>
    <t xml:space="preserve">7</t>
  </si>
  <si>
    <t xml:space="preserve">sizes_available</t>
  </si>
  <si>
    <t xml:space="preserve">Sizes in stock at capture</t>
  </si>
  <si>
    <t xml:space="preserve">Text list</t>
  </si>
  <si>
    <t xml:space="preserve">Variant availability</t>
  </si>
  <si>
    <t xml:space="preserve">(captured by crawler)</t>
  </si>
  <si>
    <t xml:space="preserve">sizes_out_of_stock</t>
  </si>
  <si>
    <t xml:space="preserve">Sizes sold out at capture</t>
  </si>
  <si>
    <t xml:space="preserve">extended_size_flag</t>
  </si>
  <si>
    <t xml:space="preserve">Offers above XL or above size 14</t>
  </si>
  <si>
    <t xml:space="preserve">inseam_in</t>
  </si>
  <si>
    <t xml:space="preserve">Fit</t>
  </si>
  <si>
    <t xml:space="preserve">Inseam in inches, if stated</t>
  </si>
  <si>
    <t xml:space="preserve">Number</t>
  </si>
  <si>
    <t xml:space="preserve">Name, fit copy</t>
  </si>
  <si>
    <t xml:space="preserve">Regex</t>
  </si>
  <si>
    <t xml:space="preserve">rise</t>
  </si>
  <si>
    <t xml:space="preserve">Rise as stated</t>
  </si>
  <si>
    <t xml:space="preserve">Low; Mid; High; Super High; Not stated</t>
  </si>
  <si>
    <t xml:space="preserve">Fit copy</t>
  </si>
  <si>
    <t xml:space="preserve">High</t>
  </si>
  <si>
    <t xml:space="preserve">length_descriptor</t>
  </si>
  <si>
    <t xml:space="preserve">Length as stated</t>
  </si>
  <si>
    <t xml:space="preserve">Full; 7/8; Ankle; Capri; Flare; Not stated</t>
  </si>
  <si>
    <t xml:space="preserve">Fit copy, name</t>
  </si>
  <si>
    <t xml:space="preserve">Ankle</t>
  </si>
  <si>
    <t xml:space="preserve">fit_descriptor</t>
  </si>
  <si>
    <t xml:space="preserve">Fit as stated</t>
  </si>
  <si>
    <t xml:space="preserve">Tight; Stretch to fit; Relaxed; Flare; Not stated</t>
  </si>
  <si>
    <t xml:space="preserve">Stretch to fit</t>
  </si>
  <si>
    <t xml:space="preserve">waistband_type</t>
  </si>
  <si>
    <t xml:space="preserve">Construction</t>
  </si>
  <si>
    <t xml:space="preserve">Waistband build</t>
  </si>
  <si>
    <t xml:space="preserve">Bonded; Seamless; Folded; Elastic; Drawcord; V-front; Not stated</t>
  </si>
  <si>
    <t xml:space="preserve">Features copy</t>
  </si>
  <si>
    <t xml:space="preserve">Bonded</t>
  </si>
  <si>
    <t xml:space="preserve">pockets</t>
  </si>
  <si>
    <t xml:space="preserve">Pocket description</t>
  </si>
  <si>
    <t xml:space="preserve">None; Side drop-in; Waistband; Hidden; Not stated</t>
  </si>
  <si>
    <t xml:space="preserve">Not stated</t>
  </si>
  <si>
    <t xml:space="preserve">front_seam</t>
  </si>
  <si>
    <t xml:space="preserve">Front rise seam</t>
  </si>
  <si>
    <t xml:space="preserve">Yes; No; Not stated</t>
  </si>
  <si>
    <t xml:space="preserve">No</t>
  </si>
  <si>
    <t xml:space="preserve">fabric_platform</t>
  </si>
  <si>
    <t xml:space="preserve">Material</t>
  </si>
  <si>
    <t xml:space="preserve">Brand fabric name</t>
  </si>
  <si>
    <t xml:space="preserve">See Fabric_Normalization</t>
  </si>
  <si>
    <t xml:space="preserve">Name, fabric copy</t>
  </si>
  <si>
    <t xml:space="preserve">Vuori BlissBlend Form</t>
  </si>
  <si>
    <t xml:space="preserve">fiber_content_raw</t>
  </si>
  <si>
    <t xml:space="preserve">Fiber content exactly as printed</t>
  </si>
  <si>
    <t xml:space="preserve">Fabric &amp; care section</t>
  </si>
  <si>
    <t xml:space="preserve">74% Polyamide, 26% Elastane (Shell), 88% Polyester, 12% Elastane (Liner)</t>
  </si>
  <si>
    <t xml:space="preserve">primary_fiber</t>
  </si>
  <si>
    <t xml:space="preserve">Largest fiber in main body (shell)</t>
  </si>
  <si>
    <t xml:space="preserve">Nylon/Polyamide; Polyester; Cotton; Lyocell; Modal; Wool; Other</t>
  </si>
  <si>
    <t xml:space="preserve">Parsed from raw</t>
  </si>
  <si>
    <t xml:space="preserve">Nylon/Polyamide</t>
  </si>
  <si>
    <t xml:space="preserve">primary_fiber_pct</t>
  </si>
  <si>
    <t xml:space="preserve">Share of primary fiber in shell</t>
  </si>
  <si>
    <t xml:space="preserve">0.74</t>
  </si>
  <si>
    <t xml:space="preserve">elastane_pct</t>
  </si>
  <si>
    <t xml:space="preserve">Elastane / spandex / Lycra share in shell</t>
  </si>
  <si>
    <t xml:space="preserve">0.26</t>
  </si>
  <si>
    <t xml:space="preserve">recycled_flag</t>
  </si>
  <si>
    <t xml:space="preserve">Any recycled fiber claimed</t>
  </si>
  <si>
    <t xml:space="preserve">Fabric copy</t>
  </si>
  <si>
    <t xml:space="preserve">claimed_properties</t>
  </si>
  <si>
    <t xml:space="preserve">Performance claims listed</t>
  </si>
  <si>
    <t xml:space="preserve">4-way stretch; Moisture wicking; Quick dry; Anti-odor; UPF; Squat proof; Compression</t>
  </si>
  <si>
    <t xml:space="preserve">Icons, features copy</t>
  </si>
  <si>
    <t xml:space="preserve">4-way stretch; Moisture wicking</t>
  </si>
  <si>
    <t xml:space="preserve">colour_family</t>
  </si>
  <si>
    <t xml:space="preserve">Design</t>
  </si>
  <si>
    <t xml:space="preserve">Color mapped to lululemon's colour family list</t>
  </si>
  <si>
    <t xml:space="preserve">Black; Navy; Grey; White; Off White; Blue; Green; Olive; Pink; Purple; Red; Orange; Yellow; Brown; Tan; Multi</t>
  </si>
  <si>
    <t xml:space="preserve">Color name mapping</t>
  </si>
  <si>
    <t xml:space="preserve">Brown</t>
  </si>
  <si>
    <t xml:space="preserve">print_or_solid</t>
  </si>
  <si>
    <t xml:space="preserve">Pattern type</t>
  </si>
  <si>
    <t xml:space="preserve">Solid; Heather; Print; Colorblock; Space dye</t>
  </si>
  <si>
    <t xml:space="preserve">Color name, images</t>
  </si>
  <si>
    <t xml:space="preserve">Solid</t>
  </si>
  <si>
    <t xml:space="preserve">colors_for_style</t>
  </si>
  <si>
    <t xml:space="preserve">Number of colors offered for the style</t>
  </si>
  <si>
    <t xml:space="preserve">Variant options</t>
  </si>
  <si>
    <t xml:space="preserve">rating</t>
  </si>
  <si>
    <t xml:space="preserve">Social proof</t>
  </si>
  <si>
    <t xml:space="preserve">Average star rating</t>
  </si>
  <si>
    <t xml:space="preserve">0 to 5</t>
  </si>
  <si>
    <t xml:space="preserve">Reviews block</t>
  </si>
  <si>
    <t xml:space="preserve">4.7</t>
  </si>
  <si>
    <t xml:space="preserve">review_count</t>
  </si>
  <si>
    <t xml:space="preserve">Number of reviews</t>
  </si>
  <si>
    <t xml:space="preserve">38</t>
  </si>
  <si>
    <t xml:space="preserve">fit_score</t>
  </si>
  <si>
    <t xml:space="preserve">Brand's fit score if shown</t>
  </si>
  <si>
    <t xml:space="preserve">3.08 of 5 (leans runs small)</t>
  </si>
  <si>
    <t xml:space="preserve">first_seen_date</t>
  </si>
  <si>
    <t xml:space="preserve">Tracking</t>
  </si>
  <si>
    <t xml:space="preserve">First capture date for this style-color</t>
  </si>
  <si>
    <t xml:space="preserve">Crawler history</t>
  </si>
  <si>
    <t xml:space="preserve">line_segment_inferred</t>
  </si>
  <si>
    <t xml:space="preserve">Core vs seasonal. Crawler flags Core candidate after 6 weekly captures; Seasonal is assigned in analysis when a style-color drops out</t>
  </si>
  <si>
    <t xml:space="preserve">Core candidate; Seasonal; Too early</t>
  </si>
  <si>
    <t xml:space="preserve">Too early</t>
  </si>
  <si>
    <t xml:space="preserve">extraction_method</t>
  </si>
  <si>
    <t xml:space="preserve">QA</t>
  </si>
  <si>
    <t xml:space="preserve">How unstructured fields were filled</t>
  </si>
  <si>
    <t xml:space="preserve">Structured; Regex; LLM; Manual</t>
  </si>
  <si>
    <t xml:space="preserve">Crawler</t>
  </si>
  <si>
    <t xml:space="preserve">Structured + LLM</t>
  </si>
  <si>
    <t xml:space="preserve">qa_status</t>
  </si>
  <si>
    <t xml:space="preserve">Review state</t>
  </si>
  <si>
    <t xml:space="preserve">Unreviewed; Checked; Fixed</t>
  </si>
  <si>
    <t xml:space="preserve">Reviewer</t>
  </si>
  <si>
    <t xml:space="preserve">Manual</t>
  </si>
  <si>
    <t xml:space="preserve">Checked</t>
  </si>
  <si>
    <t xml:space="preserve">Wave</t>
  </si>
  <si>
    <t xml:space="preserve">Alo category</t>
  </si>
  <si>
    <t xml:space="preserve">lululemon category</t>
  </si>
  <si>
    <t xml:space="preserve">Vuori category</t>
  </si>
  <si>
    <t xml:space="preserve">Athleta category</t>
  </si>
  <si>
    <t xml:space="preserve">Beyond Yoga category</t>
  </si>
  <si>
    <t xml:space="preserve">Mapping rule / notes</t>
  </si>
  <si>
    <t xml:space="preserve">Leggings /collections/womens-leggings</t>
  </si>
  <si>
    <t xml:space="preserve">Leggings /c/women-leggings/n1udsq; Capris /c/women-capris/n1ml6n</t>
  </si>
  <si>
    <t xml:space="preserve">Women's Leggings /collections/womens-leggings</t>
  </si>
  <si>
    <t xml:space="preserve">Bottoms cid=1025878 (leggings subcategory to confirm on first run)</t>
  </si>
  <si>
    <t xml:space="preserve">Leggings /collections/leggings; Capris + Pedal Pushers /collections/pedal-pushers-capris</t>
  </si>
  <si>
    <t xml:space="preserve">Includes leggings, tights, capris. Beyond Yoga 'Leggings with Pockets' is a subset of Leggings: de-duplicate on style_color_id. Biker shorts go to Womens Shorts.</t>
  </si>
  <si>
    <t xml:space="preserve">Womens Non-Tights</t>
  </si>
  <si>
    <t xml:space="preserve">Pants &amp; Trousers; Sweatpants</t>
  </si>
  <si>
    <t xml:space="preserve">Pants; Joggers; Sweatpants; Trousers</t>
  </si>
  <si>
    <t xml:space="preserve">Pants &amp; Trousers; Joggers &amp; Sweatpants; Denim</t>
  </si>
  <si>
    <t xml:space="preserve">Bottoms (subcategory to confirm)</t>
  </si>
  <si>
    <t xml:space="preserve">Pants; Bootcut + Wide Leg; Joggers + Sweatpants</t>
  </si>
  <si>
    <t xml:space="preserve">Denim is Vuori only today: tag it so it can be split out.</t>
  </si>
  <si>
    <t xml:space="preserve">Womens Bras</t>
  </si>
  <si>
    <t xml:space="preserve">Womens Sportsbras</t>
  </si>
  <si>
    <t xml:space="preserve">Sports Bras</t>
  </si>
  <si>
    <t xml:space="preserve">Women's Sports Bras</t>
  </si>
  <si>
    <t xml:space="preserve">Bras</t>
  </si>
  <si>
    <t xml:space="preserve">Capture support level (light / medium / high) as stated.</t>
  </si>
  <si>
    <t xml:space="preserve">Womens Intimates</t>
  </si>
  <si>
    <t xml:space="preserve">Intimates</t>
  </si>
  <si>
    <t xml:space="preserve">Underwear</t>
  </si>
  <si>
    <t xml:space="preserve">Not found</t>
  </si>
  <si>
    <t xml:space="preserve">To confirm</t>
  </si>
  <si>
    <t xml:space="preserve">Low overlap.</t>
  </si>
  <si>
    <t xml:space="preserve">Womens Tanks</t>
  </si>
  <si>
    <t xml:space="preserve">Tops</t>
  </si>
  <si>
    <t xml:space="preserve">Tank Tops</t>
  </si>
  <si>
    <t xml:space="preserve">Women's Tank Tops</t>
  </si>
  <si>
    <t xml:space="preserve">Tops (subcategory to confirm)</t>
  </si>
  <si>
    <t xml:space="preserve">Tanks; Crop Tanks</t>
  </si>
  <si>
    <t xml:space="preserve">Womens Onesies/Dresses</t>
  </si>
  <si>
    <t xml:space="preserve">Dresses; Onesies</t>
  </si>
  <si>
    <t xml:space="preserve">Dresses</t>
  </si>
  <si>
    <t xml:space="preserve">Women's Dresses &amp; Jumpsuits</t>
  </si>
  <si>
    <t xml:space="preserve">Dresses; Active Dresses; Jumpsuits</t>
  </si>
  <si>
    <t xml:space="preserve">Womens SS-LS Tops</t>
  </si>
  <si>
    <t xml:space="preserve">Womens SS Tops</t>
  </si>
  <si>
    <t xml:space="preserve">T-Shirts; Shirts</t>
  </si>
  <si>
    <t xml:space="preserve">Women's Short Sleeve Tops; T-Shirts</t>
  </si>
  <si>
    <t xml:space="preserve">Short Sleeve Tops</t>
  </si>
  <si>
    <t xml:space="preserve">Womens LS Tops</t>
  </si>
  <si>
    <t xml:space="preserve">Long Sleeve Shirts</t>
  </si>
  <si>
    <t xml:space="preserve">Women's Long Sleeve Tops</t>
  </si>
  <si>
    <t xml:space="preserve">Long Sleeve Tops</t>
  </si>
  <si>
    <t xml:space="preserve">Womens 2nd Layers</t>
  </si>
  <si>
    <t xml:space="preserve">Womens Pull-Overs</t>
  </si>
  <si>
    <t xml:space="preserve">Sweatshirts &amp; Hoodies; Sweaters &amp; Knitwear</t>
  </si>
  <si>
    <t xml:space="preserve">Hoodies &amp; Sweatshirts</t>
  </si>
  <si>
    <t xml:space="preserve">Women's Hoodies &amp; Sweatshirts; Sweaters</t>
  </si>
  <si>
    <t xml:space="preserve">Sweatshirts; Sweaters; Layers</t>
  </si>
  <si>
    <t xml:space="preserve">Split pull-over vs zip-up on name ('zip', 'full-zip', 'half-zip').</t>
  </si>
  <si>
    <t xml:space="preserve">Womens Zip-Ups</t>
  </si>
  <si>
    <t xml:space="preserve">Sweatshirts &amp; Hoodies</t>
  </si>
  <si>
    <t xml:space="preserve">Women's Hoodies &amp; Sweatshirts</t>
  </si>
  <si>
    <t xml:space="preserve">Jackets</t>
  </si>
  <si>
    <t xml:space="preserve">Sweatshirts + Hoodies</t>
  </si>
  <si>
    <t xml:space="preserve">Same rule as above.</t>
  </si>
  <si>
    <t xml:space="preserve">Womens Outerwear</t>
  </si>
  <si>
    <t xml:space="preserve">Womens Light / Heavy / Vests</t>
  </si>
  <si>
    <t xml:space="preserve">Jackets &amp; Coats</t>
  </si>
  <si>
    <t xml:space="preserve">Coats &amp; Jackets; Vests</t>
  </si>
  <si>
    <t xml:space="preserve">Women's Jackets &amp; Vests</t>
  </si>
  <si>
    <t xml:space="preserve">Outerwear + Jackets</t>
  </si>
  <si>
    <t xml:space="preserve">Heavy = insulated or down; Light = everything else.</t>
  </si>
  <si>
    <t xml:space="preserve">Womens Shorts/Skirts</t>
  </si>
  <si>
    <t xml:space="preserve">Womens Shorts / Skirts</t>
  </si>
  <si>
    <t xml:space="preserve">Shorts; Skirts</t>
  </si>
  <si>
    <t xml:space="preserve">Women's Shorts; Skirts</t>
  </si>
  <si>
    <t xml:space="preserve">Late-September capture understates this class. Plan a spring re-capture.</t>
  </si>
  <si>
    <t xml:space="preserve">Womens Underwear</t>
  </si>
  <si>
    <t xml:space="preserve">lulu Mens</t>
  </si>
  <si>
    <t xml:space="preserve">Mens Shorts</t>
  </si>
  <si>
    <t xml:space="preserve">Mens Fixed / Pull On</t>
  </si>
  <si>
    <t xml:space="preserve">Shorts</t>
  </si>
  <si>
    <t xml:space="preserve">Men's Shorts</t>
  </si>
  <si>
    <t xml:space="preserve">Not sold</t>
  </si>
  <si>
    <t xml:space="preserve">Athleta does not sell Men's. Max overlap 4 of 5.</t>
  </si>
  <si>
    <t xml:space="preserve">Mens Pants</t>
  </si>
  <si>
    <t xml:space="preserve">Mens Pull On / Fixed / Tight</t>
  </si>
  <si>
    <t xml:space="preserve">Pants; Sweatpants</t>
  </si>
  <si>
    <t xml:space="preserve">Pants; Joggers; 5 Pocket; Dress Pants; Trousers</t>
  </si>
  <si>
    <t xml:space="preserve">Men's Pants; Joggers; Denim; Chinos</t>
  </si>
  <si>
    <t xml:space="preserve">Pants; Joggers + Sweatpants</t>
  </si>
  <si>
    <t xml:space="preserve">Fixed = fixed waist (chino, 5-pocket, trouser).</t>
  </si>
  <si>
    <t xml:space="preserve">Mens SS-LS Tops</t>
  </si>
  <si>
    <t xml:space="preserve">Mens SS / LS / Tanks</t>
  </si>
  <si>
    <t xml:space="preserve">Shirts</t>
  </si>
  <si>
    <t xml:space="preserve">T-Shirts; Long Sleeve; Polo; Button Down; Tank Tops</t>
  </si>
  <si>
    <t xml:space="preserve">Short Sleeve; Long Sleeve; Polos; Button Downs; Tanks</t>
  </si>
  <si>
    <t xml:space="preserve">Tanks + Tees; Long Sleeves</t>
  </si>
  <si>
    <t xml:space="preserve">Mens 2nd Layers</t>
  </si>
  <si>
    <t xml:space="preserve">Mens Pull-Overs / Zip-Ups</t>
  </si>
  <si>
    <t xml:space="preserve">Hoodies &amp; Sweatshirts; Quarter Zips</t>
  </si>
  <si>
    <t xml:space="preserve">Men's Hoodies and Sweatshirts; Sweaters</t>
  </si>
  <si>
    <t xml:space="preserve">Hoodies + Sweatshirts</t>
  </si>
  <si>
    <t xml:space="preserve">Mens Outerwear</t>
  </si>
  <si>
    <t xml:space="preserve">Mens Light / Heavy / Vests</t>
  </si>
  <si>
    <t xml:space="preserve">Men's Jackets &amp; Vests</t>
  </si>
  <si>
    <t xml:space="preserve">Jackets + Vests</t>
  </si>
  <si>
    <t xml:space="preserve">Mens Underwear</t>
  </si>
  <si>
    <t xml:space="preserve">Boxers</t>
  </si>
  <si>
    <t xml:space="preserve">Men's Underwear</t>
  </si>
  <si>
    <t xml:space="preserve">lulu Footwear</t>
  </si>
  <si>
    <t xml:space="preserve">Womens / Mens Footwear</t>
  </si>
  <si>
    <t xml:space="preserve">Performance / OTM</t>
  </si>
  <si>
    <t xml:space="preserve">Sneakers; Slides</t>
  </si>
  <si>
    <t xml:space="preserve">Shoes</t>
  </si>
  <si>
    <t xml:space="preserve">lulu Accessories</t>
  </si>
  <si>
    <t xml:space="preserve">Bags; Equipment; Headwear; Socks</t>
  </si>
  <si>
    <t xml:space="preserve">Bags; Mats; Hats; Socks</t>
  </si>
  <si>
    <t xml:space="preserve">Bags; Equipment; Hats; Socks</t>
  </si>
  <si>
    <t xml:space="preserve">Accessories</t>
  </si>
  <si>
    <t xml:space="preserve">Not in lululemon hierarchy</t>
  </si>
  <si>
    <t xml:space="preserve">White space</t>
  </si>
  <si>
    <t xml:space="preserve">Wellness (hair, skin, body, home, supplements)</t>
  </si>
  <si>
    <t xml:space="preserve">Swim; Denim; Cashmere; Snow</t>
  </si>
  <si>
    <t xml:space="preserve">Athleta Girl</t>
  </si>
  <si>
    <t xml:space="preserve">Maternity; Toddler; Extended 1X-4X</t>
  </si>
  <si>
    <t xml:space="preserve">Categories with no lululemon class. Map these for the white-space view.</t>
  </si>
  <si>
    <t xml:space="preserve">Source: lululemon class/subclass names from PADS4914 plan file (names only). Brand categories from each site's navigation, captured 30 Sep 2026.</t>
  </si>
  <si>
    <t xml:space="preserve">Category overlap and depth test</t>
  </si>
  <si>
    <t xml:space="preserve">Presence codes: Y = confirmed on site navigation, P = parent category exists, subcategory not yet confirmed, N = not sold. Style-color counts fill in after each crawl.</t>
  </si>
  <si>
    <t xml:space="preserve">Depth threshold (style-colors per brand to count as real overlap)</t>
  </si>
  <si>
    <t xml:space="preserve">Placeholder. Reset after Wave 1 counts are in.</t>
  </si>
  <si>
    <t xml:space="preserve">Category (lululemon class / subclass)</t>
  </si>
  <si>
    <t xml:space="preserve">Alo</t>
  </si>
  <si>
    <t xml:space="preserve">lululemon</t>
  </si>
  <si>
    <t xml:space="preserve">Athleta</t>
  </si>
  <si>
    <t xml:space="preserve">Beyond Yoga</t>
  </si>
  <si>
    <t xml:space="preserve">Brands present (Y+P)</t>
  </si>
  <si>
    <t xml:space="preserve">Alo count</t>
  </si>
  <si>
    <t xml:space="preserve">lululemon count</t>
  </si>
  <si>
    <t xml:space="preserve">Vuori count</t>
  </si>
  <si>
    <t xml:space="preserve">Athleta count</t>
  </si>
  <si>
    <t xml:space="preserve">Beyond Yoga count</t>
  </si>
  <si>
    <t xml:space="preserve">Brands at depth</t>
  </si>
  <si>
    <t xml:space="preserve">Overlap call</t>
  </si>
  <si>
    <t xml:space="preserve">W Pants: Tights</t>
  </si>
  <si>
    <t xml:space="preserve">P</t>
  </si>
  <si>
    <t xml:space="preserve">W Pants: Non-Tights</t>
  </si>
  <si>
    <t xml:space="preserve">W Bras: Sports bras</t>
  </si>
  <si>
    <t xml:space="preserve">W Tanks</t>
  </si>
  <si>
    <t xml:space="preserve">W SS / LS Tops</t>
  </si>
  <si>
    <t xml:space="preserve">W 2nd Layers</t>
  </si>
  <si>
    <t xml:space="preserve">W Outerwear</t>
  </si>
  <si>
    <t xml:space="preserve">W Shorts / Skirts</t>
  </si>
  <si>
    <t xml:space="preserve">W Onesies / Dresses</t>
  </si>
  <si>
    <t xml:space="preserve">M Shorts</t>
  </si>
  <si>
    <t xml:space="preserve">M Pants</t>
  </si>
  <si>
    <t xml:space="preserve">M SS / LS Tops</t>
  </si>
  <si>
    <t xml:space="preserve">M 2nd Layers</t>
  </si>
  <si>
    <t xml:space="preserve">M Outerwear</t>
  </si>
  <si>
    <t xml:space="preserve">W Underwear / Intimates</t>
  </si>
  <si>
    <t xml:space="preserve">M Underwear</t>
  </si>
  <si>
    <t xml:space="preserve">Footwear</t>
  </si>
  <si>
    <t xml:space="preserve">Source: site navigation for all five brands, captured 30 Sep 2026. Athleta shows only top-level groups (Bottoms, Tops, Jackets, Bras, Dresses); subcategories marked P until the first crawl confirms them.</t>
  </si>
  <si>
    <t xml:space="preserve">Brand</t>
  </si>
  <si>
    <t xml:space="preserve">Name as marketed</t>
  </si>
  <si>
    <t xml:space="preserve">Type</t>
  </si>
  <si>
    <t xml:space="preserve">Seen where</t>
  </si>
  <si>
    <t xml:space="preserve">Fiber content (shell)</t>
  </si>
  <si>
    <t xml:space="preserve">Primary fiber</t>
  </si>
  <si>
    <t xml:space="preserve">Elastane %</t>
  </si>
  <si>
    <t xml:space="preserve">Handfeel claim</t>
  </si>
  <si>
    <t xml:space="preserve">Compression / support claim</t>
  </si>
  <si>
    <t xml:space="preserve">Other claims</t>
  </si>
  <si>
    <t xml:space="preserve">Status</t>
  </si>
  <si>
    <t xml:space="preserve">Source</t>
  </si>
  <si>
    <t xml:space="preserve">Nulu</t>
  </si>
  <si>
    <t xml:space="preserve">Fabric</t>
  </si>
  <si>
    <t xml:space="preserve">Yoga &amp; Pilates story (homepage)</t>
  </si>
  <si>
    <t xml:space="preserve">Name seen; capture composition</t>
  </si>
  <si>
    <t xml:space="preserve">shop.lululemon.com, 30 Sep 2026</t>
  </si>
  <si>
    <t xml:space="preserve">Luon</t>
  </si>
  <si>
    <t xml:space="preserve">Define jacket feature (homepage)</t>
  </si>
  <si>
    <t xml:space="preserve">Smooth Spacer</t>
  </si>
  <si>
    <t xml:space="preserve">Homepage hero, new styles</t>
  </si>
  <si>
    <t xml:space="preserve">Soft, cool</t>
  </si>
  <si>
    <t xml:space="preserve">SuperLoft</t>
  </si>
  <si>
    <t xml:space="preserve">Steady State SuperLoft hoodie / pant</t>
  </si>
  <si>
    <t xml:space="preserve">Align</t>
  </si>
  <si>
    <t xml:space="preserve">Line</t>
  </si>
  <si>
    <t xml:space="preserve">Align Shop</t>
  </si>
  <si>
    <t xml:space="preserve">Line, not fabric. Link to fabric on crawl</t>
  </si>
  <si>
    <t xml:space="preserve">shop.lululemon.com nav</t>
  </si>
  <si>
    <t xml:space="preserve">Wunder Train</t>
  </si>
  <si>
    <t xml:space="preserve">To confirm on public site</t>
  </si>
  <si>
    <t xml:space="preserve">Line. Confirm on crawl</t>
  </si>
  <si>
    <t xml:space="preserve">Not yet observed on public site</t>
  </si>
  <si>
    <t xml:space="preserve">Fast and Free</t>
  </si>
  <si>
    <t xml:space="preserve">Run story, homepage</t>
  </si>
  <si>
    <t xml:space="preserve">Line. Confirm public fabric</t>
  </si>
  <si>
    <t xml:space="preserve">Scuba</t>
  </si>
  <si>
    <t xml:space="preserve">Scuba Shop</t>
  </si>
  <si>
    <t xml:space="preserve">Line (fleece). Confirm fabric</t>
  </si>
  <si>
    <t xml:space="preserve">Airbrush</t>
  </si>
  <si>
    <t xml:space="preserve">Leggings page description</t>
  </si>
  <si>
    <t xml:space="preserve">aloyoga.com/collections/womens-leggings, 30 Sep 2026</t>
  </si>
  <si>
    <t xml:space="preserve">Airlift</t>
  </si>
  <si>
    <t xml:space="preserve">Softsculpt</t>
  </si>
  <si>
    <t xml:space="preserve">Accolade</t>
  </si>
  <si>
    <t xml:space="preserve">The Accolade Guide (nav)</t>
  </si>
  <si>
    <t xml:space="preserve">Line. Confirm fabric</t>
  </si>
  <si>
    <t xml:space="preserve">aloyoga.com nav</t>
  </si>
  <si>
    <t xml:space="preserve">BlissBlend Form</t>
  </si>
  <si>
    <t xml:space="preserve">FormRefined Legging PDP</t>
  </si>
  <si>
    <t xml:space="preserve">74% Polyamide, 26% Elastane (liner 88% Polyester, 12% Elastane)</t>
  </si>
  <si>
    <t xml:space="preserve">Soft</t>
  </si>
  <si>
    <t xml:space="preserve">Sculpting support (bonded waistband)</t>
  </si>
  <si>
    <t xml:space="preserve">Verified from product page</t>
  </si>
  <si>
    <t xml:space="preserve">vuoriclothing.com FormRefined Legging PDP, 30 Sep 2026</t>
  </si>
  <si>
    <t xml:space="preserve">BlissBlend</t>
  </si>
  <si>
    <t xml:space="preserve">Collection page, homepage</t>
  </si>
  <si>
    <t xml:space="preserve">vuoriclothing.com, 30 Sep 2026</t>
  </si>
  <si>
    <t xml:space="preserve">DreamKnit</t>
  </si>
  <si>
    <t xml:space="preserve">Collection, homepage hero</t>
  </si>
  <si>
    <t xml:space="preserve">Meta</t>
  </si>
  <si>
    <t xml:space="preserve">Fabric / line</t>
  </si>
  <si>
    <t xml:space="preserve">Collection pages</t>
  </si>
  <si>
    <t xml:space="preserve">Type unclear. Confirm</t>
  </si>
  <si>
    <t xml:space="preserve">vuoriclothing.com sitemap</t>
  </si>
  <si>
    <t xml:space="preserve">AllTheFeels / AllTheForm</t>
  </si>
  <si>
    <t xml:space="preserve">Collection pages; AllTheForm Bra</t>
  </si>
  <si>
    <t xml:space="preserve">V1 Uplift</t>
  </si>
  <si>
    <t xml:space="preserve">Collection page</t>
  </si>
  <si>
    <t xml:space="preserve">BreatheInterlock</t>
  </si>
  <si>
    <t xml:space="preserve">Halo</t>
  </si>
  <si>
    <t xml:space="preserve">Halo styles collection</t>
  </si>
  <si>
    <t xml:space="preserve">Spacedye</t>
  </si>
  <si>
    <t xml:space="preserve">Spacedye Soft Shop</t>
  </si>
  <si>
    <t xml:space="preserve">beyondyoga.com, 30 Sep 2026</t>
  </si>
  <si>
    <t xml:space="preserve">LuxeFleece 2.0</t>
  </si>
  <si>
    <t xml:space="preserve">LuxeFleece 2.0 Shop</t>
  </si>
  <si>
    <t xml:space="preserve">glowzone</t>
  </si>
  <si>
    <t xml:space="preserve">HIIT + Train collection</t>
  </si>
  <si>
    <t xml:space="preserve">(not yet captured)</t>
  </si>
  <si>
    <t xml:space="preserve">Homepage showed no fabric names</t>
  </si>
  <si>
    <t xml:space="preserve">Capture on first crawl</t>
  </si>
  <si>
    <t xml:space="preserve">athleta.gap.com, 30 Sep 2026</t>
  </si>
  <si>
    <t xml:space="preserve">Seed sources for the rest: Vuori Fabric Guide (/pages/vuori-fabric-guide), Alo Men's Fabrication Guide (/pages/mens-fabrication-guide), Beyond Yoga Fabric Guide (/pages/fabric-guide) and Men's Fabric Guide. Composition comes from product pages, never from memory.</t>
  </si>
  <si>
    <t xml:space="preserve">Manual (test page)</t>
  </si>
  <si>
    <t xml:space="preserve">Row 2 is a worked example from a manual test of one product page. Paste crawler output (wave1_catalog.csv) starting at row 3, or replace row 2. Keep markdown_pct as a formula.</t>
  </si>
  <si>
    <t xml:space="preserve">Wave 1 QA: fill rate on required fields and count reconciliation</t>
  </si>
  <si>
    <t xml:space="preserve">Fill rate threshold</t>
  </si>
  <si>
    <t xml:space="preserve">Count tolerance vs brand's own category count</t>
  </si>
  <si>
    <t xml:space="preserve">Required field</t>
  </si>
  <si>
    <t xml:space="preserve">Rows captured</t>
  </si>
  <si>
    <t xml:space="preserve">Fields below threshold</t>
  </si>
  <si>
    <t xml:space="preserve">Unique styles captured</t>
  </si>
  <si>
    <t xml:space="preserve">Enter distinct brand_style_code count from crawler run_summary.json</t>
  </si>
  <si>
    <t xml:space="preserve">Brand's own category count</t>
  </si>
  <si>
    <t xml:space="preserve">Product count shown on the brand's leggings page (crawler logs it when visible)</t>
  </si>
  <si>
    <t xml:space="preserve">Count gap</t>
  </si>
  <si>
    <t xml:space="preserve">Wave 1 pass?</t>
  </si>
  <si>
    <t xml:space="preserve">Note: brand category counts often count style-colors or include sets. Record what the brand's number counts before judging the gap.</t>
  </si>
  <si>
    <t xml:space="preserve">Home URL</t>
  </si>
  <si>
    <t xml:space="preserve">Platform</t>
  </si>
  <si>
    <t xml:space="preserve">Product URL pattern</t>
  </si>
  <si>
    <t xml:space="preserve">Product unit per URL</t>
  </si>
  <si>
    <t xml:space="preserve">Category page loads products without a browser?</t>
  </si>
  <si>
    <t xml:space="preserve">Structured product data</t>
  </si>
  <si>
    <t xml:space="preserve">Wave 1 seed URLs</t>
  </si>
  <si>
    <t xml:space="preserve">Observed 30 Sep 2026</t>
  </si>
  <si>
    <t xml:space="preserve">Notes</t>
  </si>
  <si>
    <t xml:space="preserve">https://www.aloyoga.com/</t>
  </si>
  <si>
    <t xml:space="preserve">Shopify (confirmed by page tags)</t>
  </si>
  <si>
    <t xml:space="preserve">/products/&lt;handle&gt;</t>
  </si>
  <si>
    <t xml:space="preserve">To confirm on crawl</t>
  </si>
  <si>
    <t xml:space="preserve">No (grid loads by script)</t>
  </si>
  <si>
    <t xml:space="preserve">Shopify product JSON expected at /products/&lt;handle&gt;.json; confirm</t>
  </si>
  <si>
    <t xml:space="preserve">https://www.aloyoga.com/collections/womens-leggings</t>
  </si>
  <si>
    <t xml:space="preserve">Free shipping and returns banner. Fabric names Airbrush, Airlift, Softsculpt on leggings page.</t>
  </si>
  <si>
    <t xml:space="preserve">https://shop.lululemon.com/</t>
  </si>
  <si>
    <t xml:space="preserve">Custom (Next.js)</t>
  </si>
  <si>
    <t xml:space="preserve">/p/&lt;slug&gt;/&lt;id&gt;?color=&lt;code&gt;</t>
  </si>
  <si>
    <t xml:space="preserve">One style; color by parameter; lengths as separate styles</t>
  </si>
  <si>
    <t xml:space="preserve">Partly (homepage carousels load)</t>
  </si>
  <si>
    <t xml:space="preserve">schema.org data on product page expected; confirm</t>
  </si>
  <si>
    <t xml:space="preserve">https://shop.lululemon.com/c/women-leggings/n1udsq ; https://shop.lululemon.com/c/women-capris/n1ml6n</t>
  </si>
  <si>
    <t xml:space="preserve">'We Made Too Much' is the markdown section. New styles weekly (Tuesday).</t>
  </si>
  <si>
    <t xml:space="preserve">Public site only</t>
  </si>
  <si>
    <t xml:space="preserve">https://vuoriclothing.com/</t>
  </si>
  <si>
    <t xml:space="preserve">Shopify (images on cdn.shopify.com)</t>
  </si>
  <si>
    <t xml:space="preserve">/products/&lt;style&gt;-&lt;color&gt;</t>
  </si>
  <si>
    <t xml:space="preserve">One style-color</t>
  </si>
  <si>
    <t xml:space="preserve">Product page renders full detail without a browser (tested)</t>
  </si>
  <si>
    <t xml:space="preserve">https://vuoriclothing.com/collections/womens-leggings</t>
  </si>
  <si>
    <t xml:space="preserve">Free shipping over $75. Sitemap page lists every collection. Fabric guide at /pages/vuori-fabric-guide.</t>
  </si>
  <si>
    <t xml:space="preserve">https://athleta.gap.com/</t>
  </si>
  <si>
    <t xml:space="preserve">Gap Inc. shared platform</t>
  </si>
  <si>
    <t xml:space="preserve">/browse/product.do?pid=&lt;id&gt; (to confirm)</t>
  </si>
  <si>
    <t xml:space="preserve">https://athleta.gap.com/browse/category.do?cid=1025878</t>
  </si>
  <si>
    <t xml:space="preserve">Friends &amp; Family: 30% off everything. Prices this week are promotional. Women and Girls only.</t>
  </si>
  <si>
    <t xml:space="preserve">https://beyondyoga.com/</t>
  </si>
  <si>
    <t xml:space="preserve">/products/&lt;style&gt;-&lt;color&gt;-&lt;code&gt;</t>
  </si>
  <si>
    <t xml:space="preserve">Partly (sizes shown in new-arrival tiles)</t>
  </si>
  <si>
    <t xml:space="preserve">https://beyondyoga.com/collections/leggings ; https://beyondyoga.com/collections/pedal-pushers-capris</t>
  </si>
  <si>
    <t xml:space="preserve">SMS sign-up 20% off first order. Men's labeled NEW. Maternity, toddler, extended sizes 1X-4X.</t>
  </si>
</sst>
</file>

<file path=xl/styles.xml><?xml version="1.0" encoding="utf-8"?>
<styleSheet xmlns="http://schemas.openxmlformats.org/spreadsheetml/2006/main">
  <numFmts count="3">
    <numFmt numFmtId="164" formatCode="General"/>
    <numFmt numFmtId="165" formatCode="0%"/>
    <numFmt numFmtId="166"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A64A30"/>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s>
  <fills count="4">
    <fill>
      <patternFill patternType="none"/>
    </fill>
    <fill>
      <patternFill patternType="gray125"/>
    </fill>
    <fill>
      <patternFill patternType="solid">
        <fgColor rgb="FF000000"/>
        <bgColor rgb="FF003300"/>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2F2F2"/>
        </patternFill>
      </fill>
    </dxf>
    <dxf>
      <fill>
        <patternFill>
          <bgColor rgb="FFF6D1A3"/>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F4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6D1A3"/>
      <rgbColor rgb="FF3366FF"/>
      <rgbColor rgb="FF33CCCC"/>
      <rgbColor rgb="FF99CC00"/>
      <rgbColor rgb="FFFFCC00"/>
      <rgbColor rgb="FFFF9900"/>
      <rgbColor rgb="FFFF6600"/>
      <rgbColor rgb="FF666699"/>
      <rgbColor rgb="FF969696"/>
      <rgbColor rgb="FF003366"/>
      <rgbColor rgb="FF339966"/>
      <rgbColor rgb="FF003300"/>
      <rgbColor rgb="FF333300"/>
      <rgbColor rgb="FFA64A3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5" customFormat="false" ht="23.85" hidden="false" customHeight="false" outlineLevel="0" collapsed="false">
      <c r="A5" s="3" t="s">
        <v>4</v>
      </c>
      <c r="B5" s="4" t="s">
        <v>5</v>
      </c>
    </row>
    <row r="6" customFormat="false" ht="35.05" hidden="false" customHeight="false" outlineLevel="0" collapsed="false">
      <c r="A6" s="3" t="s">
        <v>6</v>
      </c>
      <c r="B6" s="4" t="s">
        <v>7</v>
      </c>
    </row>
    <row r="7" customFormat="false" ht="23.85" hidden="false" customHeight="false" outlineLevel="0" collapsed="false">
      <c r="A7" s="3" t="s">
        <v>8</v>
      </c>
      <c r="B7" s="4" t="s">
        <v>9</v>
      </c>
    </row>
    <row r="8" customFormat="false" ht="23.85" hidden="false" customHeight="false" outlineLevel="0" collapsed="false">
      <c r="A8" s="3" t="s">
        <v>10</v>
      </c>
      <c r="B8" s="4" t="s">
        <v>11</v>
      </c>
    </row>
    <row r="9" customFormat="false" ht="46.25" hidden="false" customHeight="false" outlineLevel="0" collapsed="false">
      <c r="A9" s="3" t="s">
        <v>12</v>
      </c>
      <c r="B9" s="4" t="s">
        <v>13</v>
      </c>
    </row>
    <row r="10" customFormat="false" ht="15" hidden="false" customHeight="false" outlineLevel="0" collapsed="false">
      <c r="A10" s="3" t="s">
        <v>14</v>
      </c>
      <c r="B10" s="4" t="s">
        <v>15</v>
      </c>
    </row>
    <row r="11" customFormat="false" ht="23.85" hidden="false" customHeight="false" outlineLevel="0" collapsed="false">
      <c r="A11" s="3" t="s">
        <v>16</v>
      </c>
      <c r="B11" s="4" t="s">
        <v>17</v>
      </c>
    </row>
    <row r="12" customFormat="false" ht="23.85" hidden="false" customHeight="false" outlineLevel="0" collapsed="false">
      <c r="A12" s="3" t="s">
        <v>18</v>
      </c>
      <c r="B12"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4A30"/>
    <pageSetUpPr fitToPage="false"/>
  </sheetPr>
  <dimension ref="A1:J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4"/>
    <col collapsed="false" customWidth="true" hidden="false" outlineLevel="0" max="4" min="4" style="0" width="46"/>
    <col collapsed="false" customWidth="true" hidden="false" outlineLevel="0" max="5" min="5" style="0" width="16"/>
    <col collapsed="false" customWidth="true" hidden="false" outlineLevel="0" max="6" min="6" style="0" width="36"/>
    <col collapsed="false" customWidth="true" hidden="false" outlineLevel="0" max="7" min="7" style="0" width="30"/>
    <col collapsed="false" customWidth="true" hidden="false" outlineLevel="0" max="8" min="8" style="0" width="14"/>
    <col collapsed="false" customWidth="true" hidden="false" outlineLevel="0" max="9" min="9" style="0" width="10"/>
    <col collapsed="false" customWidth="true" hidden="false" outlineLevel="0" max="10" min="10" style="0" width="34"/>
  </cols>
  <sheetData>
    <row r="1" customFormat="false" ht="23.85" hidden="false" customHeight="false" outlineLevel="0" collapsed="false">
      <c r="A1" s="5" t="s">
        <v>20</v>
      </c>
      <c r="B1" s="5" t="s">
        <v>21</v>
      </c>
      <c r="C1" s="5" t="s">
        <v>22</v>
      </c>
      <c r="D1" s="5" t="s">
        <v>23</v>
      </c>
      <c r="E1" s="5" t="s">
        <v>24</v>
      </c>
      <c r="F1" s="5" t="s">
        <v>25</v>
      </c>
      <c r="G1" s="5" t="s">
        <v>26</v>
      </c>
      <c r="H1" s="5" t="s">
        <v>27</v>
      </c>
      <c r="I1" s="5" t="s">
        <v>28</v>
      </c>
      <c r="J1" s="5" t="s">
        <v>29</v>
      </c>
    </row>
    <row r="2" customFormat="false" ht="15" hidden="false" customHeight="false" outlineLevel="0" collapsed="false">
      <c r="A2" s="4" t="n">
        <v>1</v>
      </c>
      <c r="B2" s="3" t="s">
        <v>30</v>
      </c>
      <c r="C2" s="4" t="s">
        <v>31</v>
      </c>
      <c r="D2" s="4" t="s">
        <v>32</v>
      </c>
      <c r="E2" s="4" t="s">
        <v>33</v>
      </c>
      <c r="F2" s="4"/>
      <c r="G2" s="4" t="s">
        <v>34</v>
      </c>
      <c r="H2" s="4" t="s">
        <v>35</v>
      </c>
      <c r="I2" s="4" t="s">
        <v>36</v>
      </c>
      <c r="J2" s="4" t="s">
        <v>37</v>
      </c>
    </row>
    <row r="3" customFormat="false" ht="15" hidden="false" customHeight="false" outlineLevel="0" collapsed="false">
      <c r="A3" s="4" t="n">
        <v>2</v>
      </c>
      <c r="B3" s="3" t="s">
        <v>38</v>
      </c>
      <c r="C3" s="4" t="s">
        <v>31</v>
      </c>
      <c r="D3" s="4" t="s">
        <v>39</v>
      </c>
      <c r="E3" s="4" t="s">
        <v>40</v>
      </c>
      <c r="F3" s="4" t="s">
        <v>41</v>
      </c>
      <c r="G3" s="4" t="s">
        <v>42</v>
      </c>
      <c r="H3" s="4" t="s">
        <v>35</v>
      </c>
      <c r="I3" s="4" t="s">
        <v>36</v>
      </c>
      <c r="J3" s="4" t="s">
        <v>43</v>
      </c>
    </row>
    <row r="4" customFormat="false" ht="23.85" hidden="false" customHeight="false" outlineLevel="0" collapsed="false">
      <c r="A4" s="4" t="n">
        <v>3</v>
      </c>
      <c r="B4" s="3" t="s">
        <v>44</v>
      </c>
      <c r="C4" s="4" t="s">
        <v>31</v>
      </c>
      <c r="D4" s="4" t="s">
        <v>45</v>
      </c>
      <c r="E4" s="4" t="s">
        <v>46</v>
      </c>
      <c r="F4" s="4"/>
      <c r="G4" s="4" t="s">
        <v>47</v>
      </c>
      <c r="H4" s="4" t="s">
        <v>35</v>
      </c>
      <c r="I4" s="4" t="s">
        <v>36</v>
      </c>
      <c r="J4" s="4" t="s">
        <v>48</v>
      </c>
    </row>
    <row r="5" customFormat="false" ht="23.85" hidden="false" customHeight="false" outlineLevel="0" collapsed="false">
      <c r="A5" s="4" t="n">
        <v>4</v>
      </c>
      <c r="B5" s="3" t="s">
        <v>49</v>
      </c>
      <c r="C5" s="4" t="s">
        <v>31</v>
      </c>
      <c r="D5" s="4" t="s">
        <v>50</v>
      </c>
      <c r="E5" s="4" t="s">
        <v>40</v>
      </c>
      <c r="F5" s="4"/>
      <c r="G5" s="4" t="s">
        <v>51</v>
      </c>
      <c r="H5" s="4" t="s">
        <v>52</v>
      </c>
      <c r="I5" s="4" t="s">
        <v>36</v>
      </c>
      <c r="J5" s="4" t="s">
        <v>53</v>
      </c>
    </row>
    <row r="6" customFormat="false" ht="35.05" hidden="false" customHeight="false" outlineLevel="0" collapsed="false">
      <c r="A6" s="4" t="n">
        <v>5</v>
      </c>
      <c r="B6" s="3" t="s">
        <v>54</v>
      </c>
      <c r="C6" s="4" t="s">
        <v>31</v>
      </c>
      <c r="D6" s="4" t="s">
        <v>55</v>
      </c>
      <c r="E6" s="4" t="s">
        <v>40</v>
      </c>
      <c r="F6" s="4"/>
      <c r="G6" s="4" t="s">
        <v>56</v>
      </c>
      <c r="H6" s="4" t="s">
        <v>35</v>
      </c>
      <c r="I6" s="4" t="s">
        <v>36</v>
      </c>
      <c r="J6" s="4" t="s">
        <v>57</v>
      </c>
    </row>
    <row r="7" customFormat="false" ht="15" hidden="false" customHeight="false" outlineLevel="0" collapsed="false">
      <c r="A7" s="4" t="n">
        <v>6</v>
      </c>
      <c r="B7" s="3" t="s">
        <v>58</v>
      </c>
      <c r="C7" s="4" t="s">
        <v>31</v>
      </c>
      <c r="D7" s="4" t="s">
        <v>59</v>
      </c>
      <c r="E7" s="4" t="s">
        <v>40</v>
      </c>
      <c r="F7" s="4"/>
      <c r="G7" s="4" t="s">
        <v>60</v>
      </c>
      <c r="H7" s="4" t="s">
        <v>52</v>
      </c>
      <c r="I7" s="4" t="s">
        <v>36</v>
      </c>
      <c r="J7" s="4" t="s">
        <v>61</v>
      </c>
    </row>
    <row r="8" customFormat="false" ht="15" hidden="false" customHeight="false" outlineLevel="0" collapsed="false">
      <c r="A8" s="4" t="n">
        <v>7</v>
      </c>
      <c r="B8" s="3" t="s">
        <v>62</v>
      </c>
      <c r="C8" s="4" t="s">
        <v>31</v>
      </c>
      <c r="D8" s="4" t="s">
        <v>63</v>
      </c>
      <c r="E8" s="4" t="s">
        <v>40</v>
      </c>
      <c r="F8" s="4"/>
      <c r="G8" s="4" t="s">
        <v>64</v>
      </c>
      <c r="H8" s="4" t="s">
        <v>52</v>
      </c>
      <c r="I8" s="4" t="s">
        <v>36</v>
      </c>
      <c r="J8" s="4" t="s">
        <v>65</v>
      </c>
    </row>
    <row r="9" customFormat="false" ht="15" hidden="false" customHeight="false" outlineLevel="0" collapsed="false">
      <c r="A9" s="4" t="n">
        <v>8</v>
      </c>
      <c r="B9" s="3" t="s">
        <v>66</v>
      </c>
      <c r="C9" s="4" t="s">
        <v>31</v>
      </c>
      <c r="D9" s="4" t="s">
        <v>67</v>
      </c>
      <c r="E9" s="4" t="s">
        <v>40</v>
      </c>
      <c r="F9" s="4" t="s">
        <v>68</v>
      </c>
      <c r="G9" s="4" t="s">
        <v>56</v>
      </c>
      <c r="H9" s="4" t="s">
        <v>35</v>
      </c>
      <c r="I9" s="4" t="s">
        <v>36</v>
      </c>
      <c r="J9" s="4" t="s">
        <v>69</v>
      </c>
    </row>
    <row r="10" customFormat="false" ht="15" hidden="false" customHeight="false" outlineLevel="0" collapsed="false">
      <c r="A10" s="4" t="n">
        <v>9</v>
      </c>
      <c r="B10" s="3" t="s">
        <v>70</v>
      </c>
      <c r="C10" s="4" t="s">
        <v>31</v>
      </c>
      <c r="D10" s="4" t="s">
        <v>71</v>
      </c>
      <c r="E10" s="4" t="s">
        <v>40</v>
      </c>
      <c r="F10" s="4" t="s">
        <v>72</v>
      </c>
      <c r="G10" s="4" t="s">
        <v>73</v>
      </c>
      <c r="H10" s="4" t="s">
        <v>74</v>
      </c>
      <c r="I10" s="4" t="s">
        <v>75</v>
      </c>
      <c r="J10" s="4" t="s">
        <v>76</v>
      </c>
    </row>
    <row r="11" customFormat="false" ht="15" hidden="false" customHeight="false" outlineLevel="0" collapsed="false">
      <c r="A11" s="4" t="n">
        <v>10</v>
      </c>
      <c r="B11" s="3" t="s">
        <v>77</v>
      </c>
      <c r="C11" s="4" t="s">
        <v>31</v>
      </c>
      <c r="D11" s="4" t="s">
        <v>78</v>
      </c>
      <c r="E11" s="4" t="s">
        <v>40</v>
      </c>
      <c r="F11" s="4" t="s">
        <v>79</v>
      </c>
      <c r="G11" s="4" t="s">
        <v>80</v>
      </c>
      <c r="H11" s="4" t="s">
        <v>35</v>
      </c>
      <c r="I11" s="4" t="s">
        <v>36</v>
      </c>
      <c r="J11" s="4" t="s">
        <v>81</v>
      </c>
    </row>
    <row r="12" customFormat="false" ht="15" hidden="false" customHeight="false" outlineLevel="0" collapsed="false">
      <c r="A12" s="4" t="n">
        <v>11</v>
      </c>
      <c r="B12" s="3" t="s">
        <v>82</v>
      </c>
      <c r="C12" s="4" t="s">
        <v>83</v>
      </c>
      <c r="D12" s="4" t="s">
        <v>84</v>
      </c>
      <c r="E12" s="4" t="s">
        <v>40</v>
      </c>
      <c r="F12" s="4"/>
      <c r="G12" s="4" t="s">
        <v>47</v>
      </c>
      <c r="H12" s="4" t="s">
        <v>35</v>
      </c>
      <c r="I12" s="4" t="s">
        <v>36</v>
      </c>
      <c r="J12" s="4" t="s">
        <v>85</v>
      </c>
    </row>
    <row r="13" customFormat="false" ht="23.85" hidden="false" customHeight="false" outlineLevel="0" collapsed="false">
      <c r="A13" s="4" t="n">
        <v>12</v>
      </c>
      <c r="B13" s="3" t="s">
        <v>86</v>
      </c>
      <c r="C13" s="4" t="s">
        <v>83</v>
      </c>
      <c r="D13" s="4" t="s">
        <v>87</v>
      </c>
      <c r="E13" s="4" t="s">
        <v>40</v>
      </c>
      <c r="F13" s="4" t="s">
        <v>88</v>
      </c>
      <c r="G13" s="4" t="s">
        <v>89</v>
      </c>
      <c r="H13" s="4" t="s">
        <v>74</v>
      </c>
      <c r="I13" s="4" t="s">
        <v>36</v>
      </c>
      <c r="J13" s="4" t="s">
        <v>90</v>
      </c>
    </row>
    <row r="14" customFormat="false" ht="15" hidden="false" customHeight="false" outlineLevel="0" collapsed="false">
      <c r="A14" s="4" t="n">
        <v>13</v>
      </c>
      <c r="B14" s="3" t="s">
        <v>91</v>
      </c>
      <c r="C14" s="4" t="s">
        <v>83</v>
      </c>
      <c r="D14" s="4" t="s">
        <v>92</v>
      </c>
      <c r="E14" s="4" t="s">
        <v>40</v>
      </c>
      <c r="F14" s="4" t="s">
        <v>93</v>
      </c>
      <c r="G14" s="4" t="s">
        <v>89</v>
      </c>
      <c r="H14" s="4" t="s">
        <v>74</v>
      </c>
      <c r="I14" s="4" t="s">
        <v>36</v>
      </c>
      <c r="J14" s="4" t="s">
        <v>94</v>
      </c>
    </row>
    <row r="15" customFormat="false" ht="15" hidden="false" customHeight="false" outlineLevel="0" collapsed="false">
      <c r="A15" s="4" t="n">
        <v>14</v>
      </c>
      <c r="B15" s="3" t="s">
        <v>95</v>
      </c>
      <c r="C15" s="4" t="s">
        <v>83</v>
      </c>
      <c r="D15" s="4" t="s">
        <v>96</v>
      </c>
      <c r="E15" s="4" t="s">
        <v>40</v>
      </c>
      <c r="F15" s="4" t="s">
        <v>93</v>
      </c>
      <c r="G15" s="4" t="s">
        <v>89</v>
      </c>
      <c r="H15" s="4" t="s">
        <v>74</v>
      </c>
      <c r="I15" s="4" t="s">
        <v>36</v>
      </c>
      <c r="J15" s="4" t="s">
        <v>97</v>
      </c>
    </row>
    <row r="16" customFormat="false" ht="35.05" hidden="false" customHeight="false" outlineLevel="0" collapsed="false">
      <c r="A16" s="4" t="n">
        <v>15</v>
      </c>
      <c r="B16" s="3" t="s">
        <v>98</v>
      </c>
      <c r="C16" s="4" t="s">
        <v>83</v>
      </c>
      <c r="D16" s="4" t="s">
        <v>99</v>
      </c>
      <c r="E16" s="4" t="s">
        <v>40</v>
      </c>
      <c r="F16" s="4" t="s">
        <v>100</v>
      </c>
      <c r="G16" s="4" t="s">
        <v>101</v>
      </c>
      <c r="H16" s="4" t="s">
        <v>102</v>
      </c>
      <c r="I16" s="4" t="s">
        <v>75</v>
      </c>
      <c r="J16" s="4" t="s">
        <v>103</v>
      </c>
    </row>
    <row r="17" customFormat="false" ht="15" hidden="false" customHeight="false" outlineLevel="0" collapsed="false">
      <c r="A17" s="4" t="n">
        <v>16</v>
      </c>
      <c r="B17" s="3" t="s">
        <v>104</v>
      </c>
      <c r="C17" s="4" t="s">
        <v>83</v>
      </c>
      <c r="D17" s="4" t="s">
        <v>105</v>
      </c>
      <c r="E17" s="4" t="s">
        <v>40</v>
      </c>
      <c r="F17" s="4"/>
      <c r="G17" s="4" t="s">
        <v>106</v>
      </c>
      <c r="H17" s="4" t="s">
        <v>102</v>
      </c>
      <c r="I17" s="4" t="s">
        <v>36</v>
      </c>
      <c r="J17" s="4" t="s">
        <v>107</v>
      </c>
    </row>
    <row r="18" customFormat="false" ht="15" hidden="false" customHeight="false" outlineLevel="0" collapsed="false">
      <c r="A18" s="4" t="n">
        <v>17</v>
      </c>
      <c r="B18" s="3" t="s">
        <v>108</v>
      </c>
      <c r="C18" s="4" t="s">
        <v>109</v>
      </c>
      <c r="D18" s="4" t="s">
        <v>110</v>
      </c>
      <c r="E18" s="4" t="s">
        <v>111</v>
      </c>
      <c r="F18" s="4"/>
      <c r="G18" s="4" t="s">
        <v>112</v>
      </c>
      <c r="H18" s="4" t="s">
        <v>52</v>
      </c>
      <c r="I18" s="4" t="s">
        <v>36</v>
      </c>
      <c r="J18" s="4" t="s">
        <v>113</v>
      </c>
    </row>
    <row r="19" customFormat="false" ht="15" hidden="false" customHeight="false" outlineLevel="0" collapsed="false">
      <c r="A19" s="4" t="n">
        <v>18</v>
      </c>
      <c r="B19" s="3" t="s">
        <v>114</v>
      </c>
      <c r="C19" s="4" t="s">
        <v>109</v>
      </c>
      <c r="D19" s="4" t="s">
        <v>115</v>
      </c>
      <c r="E19" s="4" t="s">
        <v>111</v>
      </c>
      <c r="F19" s="4"/>
      <c r="G19" s="4" t="s">
        <v>116</v>
      </c>
      <c r="H19" s="4" t="s">
        <v>52</v>
      </c>
      <c r="I19" s="4" t="s">
        <v>36</v>
      </c>
      <c r="J19" s="4" t="s">
        <v>113</v>
      </c>
    </row>
    <row r="20" customFormat="false" ht="15" hidden="false" customHeight="false" outlineLevel="0" collapsed="false">
      <c r="A20" s="4" t="n">
        <v>19</v>
      </c>
      <c r="B20" s="3" t="s">
        <v>117</v>
      </c>
      <c r="C20" s="4" t="s">
        <v>109</v>
      </c>
      <c r="D20" s="4" t="s">
        <v>118</v>
      </c>
      <c r="E20" s="4" t="s">
        <v>119</v>
      </c>
      <c r="F20" s="4" t="s">
        <v>120</v>
      </c>
      <c r="G20" s="4" t="s">
        <v>121</v>
      </c>
      <c r="H20" s="4" t="s">
        <v>122</v>
      </c>
      <c r="I20" s="4" t="s">
        <v>36</v>
      </c>
      <c r="J20" s="4" t="s">
        <v>123</v>
      </c>
    </row>
    <row r="21" customFormat="false" ht="15" hidden="false" customHeight="false" outlineLevel="0" collapsed="false">
      <c r="A21" s="4" t="n">
        <v>20</v>
      </c>
      <c r="B21" s="3" t="s">
        <v>124</v>
      </c>
      <c r="C21" s="4" t="s">
        <v>109</v>
      </c>
      <c r="D21" s="4" t="s">
        <v>125</v>
      </c>
      <c r="E21" s="4" t="s">
        <v>126</v>
      </c>
      <c r="F21" s="4" t="s">
        <v>127</v>
      </c>
      <c r="G21" s="4" t="s">
        <v>128</v>
      </c>
      <c r="H21" s="4" t="s">
        <v>74</v>
      </c>
      <c r="I21" s="4" t="s">
        <v>36</v>
      </c>
      <c r="J21" s="4" t="s">
        <v>75</v>
      </c>
    </row>
    <row r="22" customFormat="false" ht="15" hidden="false" customHeight="false" outlineLevel="0" collapsed="false">
      <c r="A22" s="4" t="n">
        <v>21</v>
      </c>
      <c r="B22" s="3" t="s">
        <v>129</v>
      </c>
      <c r="C22" s="4" t="s">
        <v>109</v>
      </c>
      <c r="D22" s="4" t="s">
        <v>130</v>
      </c>
      <c r="E22" s="4" t="s">
        <v>40</v>
      </c>
      <c r="F22" s="4"/>
      <c r="G22" s="4" t="s">
        <v>131</v>
      </c>
      <c r="H22" s="4" t="s">
        <v>35</v>
      </c>
      <c r="I22" s="4" t="s">
        <v>75</v>
      </c>
      <c r="J22" s="4"/>
    </row>
    <row r="23" customFormat="false" ht="15" hidden="false" customHeight="false" outlineLevel="0" collapsed="false">
      <c r="A23" s="4" t="n">
        <v>22</v>
      </c>
      <c r="B23" s="3" t="s">
        <v>132</v>
      </c>
      <c r="C23" s="4" t="s">
        <v>109</v>
      </c>
      <c r="D23" s="4" t="s">
        <v>133</v>
      </c>
      <c r="E23" s="4" t="s">
        <v>126</v>
      </c>
      <c r="F23" s="4" t="s">
        <v>127</v>
      </c>
      <c r="G23" s="4" t="s">
        <v>134</v>
      </c>
      <c r="H23" s="4" t="s">
        <v>52</v>
      </c>
      <c r="I23" s="4" t="s">
        <v>36</v>
      </c>
      <c r="J23" s="4" t="s">
        <v>36</v>
      </c>
    </row>
    <row r="24" customFormat="false" ht="15" hidden="false" customHeight="false" outlineLevel="0" collapsed="false">
      <c r="A24" s="4" t="n">
        <v>23</v>
      </c>
      <c r="B24" s="3" t="s">
        <v>135</v>
      </c>
      <c r="C24" s="4" t="s">
        <v>136</v>
      </c>
      <c r="D24" s="4" t="s">
        <v>137</v>
      </c>
      <c r="E24" s="4" t="s">
        <v>40</v>
      </c>
      <c r="F24" s="4"/>
      <c r="G24" s="4" t="s">
        <v>138</v>
      </c>
      <c r="H24" s="4" t="s">
        <v>52</v>
      </c>
      <c r="I24" s="4" t="s">
        <v>36</v>
      </c>
      <c r="J24" s="4" t="s">
        <v>139</v>
      </c>
    </row>
    <row r="25" customFormat="false" ht="15" hidden="false" customHeight="false" outlineLevel="0" collapsed="false">
      <c r="A25" s="4" t="n">
        <v>24</v>
      </c>
      <c r="B25" s="3" t="s">
        <v>140</v>
      </c>
      <c r="C25" s="4" t="s">
        <v>136</v>
      </c>
      <c r="D25" s="4" t="s">
        <v>141</v>
      </c>
      <c r="E25" s="4" t="s">
        <v>142</v>
      </c>
      <c r="F25" s="4"/>
      <c r="G25" s="4" t="s">
        <v>138</v>
      </c>
      <c r="H25" s="4" t="s">
        <v>52</v>
      </c>
      <c r="I25" s="4" t="s">
        <v>36</v>
      </c>
      <c r="J25" s="4" t="s">
        <v>143</v>
      </c>
    </row>
    <row r="26" customFormat="false" ht="15" hidden="false" customHeight="false" outlineLevel="0" collapsed="false">
      <c r="A26" s="4" t="n">
        <v>25</v>
      </c>
      <c r="B26" s="3" t="s">
        <v>144</v>
      </c>
      <c r="C26" s="4" t="s">
        <v>136</v>
      </c>
      <c r="D26" s="4" t="s">
        <v>145</v>
      </c>
      <c r="E26" s="4" t="s">
        <v>146</v>
      </c>
      <c r="F26" s="4"/>
      <c r="G26" s="4" t="s">
        <v>147</v>
      </c>
      <c r="H26" s="4" t="s">
        <v>52</v>
      </c>
      <c r="I26" s="4" t="s">
        <v>36</v>
      </c>
      <c r="J26" s="4" t="s">
        <v>148</v>
      </c>
    </row>
    <row r="27" customFormat="false" ht="15" hidden="false" customHeight="false" outlineLevel="0" collapsed="false">
      <c r="A27" s="4" t="n">
        <v>26</v>
      </c>
      <c r="B27" s="3" t="s">
        <v>149</v>
      </c>
      <c r="C27" s="4" t="s">
        <v>136</v>
      </c>
      <c r="D27" s="4" t="s">
        <v>150</v>
      </c>
      <c r="E27" s="4" t="s">
        <v>146</v>
      </c>
      <c r="F27" s="4"/>
      <c r="G27" s="4" t="s">
        <v>147</v>
      </c>
      <c r="H27" s="4" t="s">
        <v>52</v>
      </c>
      <c r="I27" s="4" t="s">
        <v>36</v>
      </c>
      <c r="J27" s="4" t="s">
        <v>148</v>
      </c>
    </row>
    <row r="28" customFormat="false" ht="15" hidden="false" customHeight="false" outlineLevel="0" collapsed="false">
      <c r="A28" s="4" t="n">
        <v>27</v>
      </c>
      <c r="B28" s="3" t="s">
        <v>151</v>
      </c>
      <c r="C28" s="4" t="s">
        <v>136</v>
      </c>
      <c r="D28" s="4" t="s">
        <v>152</v>
      </c>
      <c r="E28" s="4" t="s">
        <v>126</v>
      </c>
      <c r="F28" s="4" t="s">
        <v>127</v>
      </c>
      <c r="G28" s="4" t="s">
        <v>138</v>
      </c>
      <c r="H28" s="4" t="s">
        <v>74</v>
      </c>
      <c r="I28" s="4" t="s">
        <v>36</v>
      </c>
      <c r="J28" s="4" t="s">
        <v>36</v>
      </c>
    </row>
    <row r="29" customFormat="false" ht="15" hidden="false" customHeight="false" outlineLevel="0" collapsed="false">
      <c r="A29" s="4" t="n">
        <v>28</v>
      </c>
      <c r="B29" s="3" t="s">
        <v>153</v>
      </c>
      <c r="C29" s="4" t="s">
        <v>154</v>
      </c>
      <c r="D29" s="4" t="s">
        <v>155</v>
      </c>
      <c r="E29" s="4" t="s">
        <v>156</v>
      </c>
      <c r="F29" s="4"/>
      <c r="G29" s="4" t="s">
        <v>157</v>
      </c>
      <c r="H29" s="4" t="s">
        <v>158</v>
      </c>
      <c r="I29" s="4" t="s">
        <v>75</v>
      </c>
      <c r="J29" s="4"/>
    </row>
    <row r="30" customFormat="false" ht="15" hidden="false" customHeight="false" outlineLevel="0" collapsed="false">
      <c r="A30" s="4" t="n">
        <v>29</v>
      </c>
      <c r="B30" s="3" t="s">
        <v>159</v>
      </c>
      <c r="C30" s="4" t="s">
        <v>154</v>
      </c>
      <c r="D30" s="4" t="s">
        <v>160</v>
      </c>
      <c r="E30" s="4" t="s">
        <v>40</v>
      </c>
      <c r="F30" s="4" t="s">
        <v>161</v>
      </c>
      <c r="G30" s="4" t="s">
        <v>162</v>
      </c>
      <c r="H30" s="4" t="s">
        <v>158</v>
      </c>
      <c r="I30" s="4" t="s">
        <v>36</v>
      </c>
      <c r="J30" s="4" t="s">
        <v>163</v>
      </c>
    </row>
    <row r="31" customFormat="false" ht="15" hidden="false" customHeight="false" outlineLevel="0" collapsed="false">
      <c r="A31" s="4" t="n">
        <v>30</v>
      </c>
      <c r="B31" s="3" t="s">
        <v>164</v>
      </c>
      <c r="C31" s="4" t="s">
        <v>154</v>
      </c>
      <c r="D31" s="4" t="s">
        <v>165</v>
      </c>
      <c r="E31" s="4" t="s">
        <v>40</v>
      </c>
      <c r="F31" s="4" t="s">
        <v>166</v>
      </c>
      <c r="G31" s="4" t="s">
        <v>167</v>
      </c>
      <c r="H31" s="4" t="s">
        <v>158</v>
      </c>
      <c r="I31" s="4" t="s">
        <v>36</v>
      </c>
      <c r="J31" s="4" t="s">
        <v>168</v>
      </c>
    </row>
    <row r="32" customFormat="false" ht="23.85" hidden="false" customHeight="false" outlineLevel="0" collapsed="false">
      <c r="A32" s="4" t="n">
        <v>31</v>
      </c>
      <c r="B32" s="3" t="s">
        <v>169</v>
      </c>
      <c r="C32" s="4" t="s">
        <v>154</v>
      </c>
      <c r="D32" s="4" t="s">
        <v>170</v>
      </c>
      <c r="E32" s="4" t="s">
        <v>40</v>
      </c>
      <c r="F32" s="4" t="s">
        <v>171</v>
      </c>
      <c r="G32" s="4" t="s">
        <v>162</v>
      </c>
      <c r="H32" s="4" t="s">
        <v>158</v>
      </c>
      <c r="I32" s="4" t="s">
        <v>36</v>
      </c>
      <c r="J32" s="4" t="s">
        <v>172</v>
      </c>
    </row>
    <row r="33" customFormat="false" ht="23.85" hidden="false" customHeight="false" outlineLevel="0" collapsed="false">
      <c r="A33" s="4" t="n">
        <v>32</v>
      </c>
      <c r="B33" s="3" t="s">
        <v>173</v>
      </c>
      <c r="C33" s="4" t="s">
        <v>174</v>
      </c>
      <c r="D33" s="4" t="s">
        <v>175</v>
      </c>
      <c r="E33" s="4" t="s">
        <v>40</v>
      </c>
      <c r="F33" s="4" t="s">
        <v>176</v>
      </c>
      <c r="G33" s="4" t="s">
        <v>177</v>
      </c>
      <c r="H33" s="4" t="s">
        <v>102</v>
      </c>
      <c r="I33" s="4" t="s">
        <v>75</v>
      </c>
      <c r="J33" s="4" t="s">
        <v>178</v>
      </c>
    </row>
    <row r="34" customFormat="false" ht="23.85" hidden="false" customHeight="false" outlineLevel="0" collapsed="false">
      <c r="A34" s="4" t="n">
        <v>33</v>
      </c>
      <c r="B34" s="3" t="s">
        <v>179</v>
      </c>
      <c r="C34" s="4" t="s">
        <v>174</v>
      </c>
      <c r="D34" s="4" t="s">
        <v>180</v>
      </c>
      <c r="E34" s="4" t="s">
        <v>40</v>
      </c>
      <c r="F34" s="4" t="s">
        <v>181</v>
      </c>
      <c r="G34" s="4" t="s">
        <v>177</v>
      </c>
      <c r="H34" s="4" t="s">
        <v>102</v>
      </c>
      <c r="I34" s="4" t="s">
        <v>36</v>
      </c>
      <c r="J34" s="4" t="s">
        <v>182</v>
      </c>
    </row>
    <row r="35" customFormat="false" ht="15" hidden="false" customHeight="false" outlineLevel="0" collapsed="false">
      <c r="A35" s="4" t="n">
        <v>34</v>
      </c>
      <c r="B35" s="3" t="s">
        <v>183</v>
      </c>
      <c r="C35" s="4" t="s">
        <v>174</v>
      </c>
      <c r="D35" s="4" t="s">
        <v>184</v>
      </c>
      <c r="E35" s="4" t="s">
        <v>40</v>
      </c>
      <c r="F35" s="4" t="s">
        <v>185</v>
      </c>
      <c r="G35" s="4" t="s">
        <v>177</v>
      </c>
      <c r="H35" s="4" t="s">
        <v>158</v>
      </c>
      <c r="I35" s="4" t="s">
        <v>75</v>
      </c>
      <c r="J35" s="4" t="s">
        <v>186</v>
      </c>
    </row>
    <row r="36" customFormat="false" ht="15" hidden="false" customHeight="false" outlineLevel="0" collapsed="false">
      <c r="A36" s="4" t="n">
        <v>35</v>
      </c>
      <c r="B36" s="3" t="s">
        <v>187</v>
      </c>
      <c r="C36" s="4" t="s">
        <v>188</v>
      </c>
      <c r="D36" s="4" t="s">
        <v>189</v>
      </c>
      <c r="E36" s="4" t="s">
        <v>40</v>
      </c>
      <c r="F36" s="4" t="s">
        <v>190</v>
      </c>
      <c r="G36" s="4" t="s">
        <v>191</v>
      </c>
      <c r="H36" s="4" t="s">
        <v>102</v>
      </c>
      <c r="I36" s="4" t="s">
        <v>36</v>
      </c>
      <c r="J36" s="4" t="s">
        <v>192</v>
      </c>
    </row>
    <row r="37" customFormat="false" ht="23.85" hidden="false" customHeight="false" outlineLevel="0" collapsed="false">
      <c r="A37" s="4" t="n">
        <v>36</v>
      </c>
      <c r="B37" s="3" t="s">
        <v>193</v>
      </c>
      <c r="C37" s="4" t="s">
        <v>188</v>
      </c>
      <c r="D37" s="4" t="s">
        <v>194</v>
      </c>
      <c r="E37" s="4" t="s">
        <v>40</v>
      </c>
      <c r="F37" s="4"/>
      <c r="G37" s="4" t="s">
        <v>195</v>
      </c>
      <c r="H37" s="4" t="s">
        <v>158</v>
      </c>
      <c r="I37" s="4" t="s">
        <v>36</v>
      </c>
      <c r="J37" s="4" t="s">
        <v>196</v>
      </c>
    </row>
    <row r="38" customFormat="false" ht="23.85" hidden="false" customHeight="false" outlineLevel="0" collapsed="false">
      <c r="A38" s="4" t="n">
        <v>37</v>
      </c>
      <c r="B38" s="3" t="s">
        <v>197</v>
      </c>
      <c r="C38" s="4" t="s">
        <v>188</v>
      </c>
      <c r="D38" s="4" t="s">
        <v>198</v>
      </c>
      <c r="E38" s="4" t="s">
        <v>40</v>
      </c>
      <c r="F38" s="4" t="s">
        <v>199</v>
      </c>
      <c r="G38" s="4" t="s">
        <v>200</v>
      </c>
      <c r="H38" s="4" t="s">
        <v>74</v>
      </c>
      <c r="I38" s="4" t="s">
        <v>36</v>
      </c>
      <c r="J38" s="4" t="s">
        <v>201</v>
      </c>
    </row>
    <row r="39" customFormat="false" ht="15" hidden="false" customHeight="false" outlineLevel="0" collapsed="false">
      <c r="A39" s="4" t="n">
        <v>38</v>
      </c>
      <c r="B39" s="3" t="s">
        <v>202</v>
      </c>
      <c r="C39" s="4" t="s">
        <v>188</v>
      </c>
      <c r="D39" s="4" t="s">
        <v>203</v>
      </c>
      <c r="E39" s="4" t="s">
        <v>119</v>
      </c>
      <c r="F39" s="4" t="s">
        <v>120</v>
      </c>
      <c r="G39" s="4" t="s">
        <v>200</v>
      </c>
      <c r="H39" s="4" t="s">
        <v>74</v>
      </c>
      <c r="I39" s="4" t="s">
        <v>36</v>
      </c>
      <c r="J39" s="4" t="s">
        <v>204</v>
      </c>
    </row>
    <row r="40" customFormat="false" ht="15" hidden="false" customHeight="false" outlineLevel="0" collapsed="false">
      <c r="A40" s="4" t="n">
        <v>39</v>
      </c>
      <c r="B40" s="3" t="s">
        <v>205</v>
      </c>
      <c r="C40" s="4" t="s">
        <v>188</v>
      </c>
      <c r="D40" s="4" t="s">
        <v>206</v>
      </c>
      <c r="E40" s="4" t="s">
        <v>119</v>
      </c>
      <c r="F40" s="4" t="s">
        <v>120</v>
      </c>
      <c r="G40" s="4" t="s">
        <v>200</v>
      </c>
      <c r="H40" s="4" t="s">
        <v>74</v>
      </c>
      <c r="I40" s="4" t="s">
        <v>36</v>
      </c>
      <c r="J40" s="4" t="s">
        <v>207</v>
      </c>
    </row>
    <row r="41" customFormat="false" ht="15" hidden="false" customHeight="false" outlineLevel="0" collapsed="false">
      <c r="A41" s="4" t="n">
        <v>40</v>
      </c>
      <c r="B41" s="3" t="s">
        <v>208</v>
      </c>
      <c r="C41" s="4" t="s">
        <v>188</v>
      </c>
      <c r="D41" s="4" t="s">
        <v>209</v>
      </c>
      <c r="E41" s="4" t="s">
        <v>126</v>
      </c>
      <c r="F41" s="4" t="s">
        <v>127</v>
      </c>
      <c r="G41" s="4" t="s">
        <v>210</v>
      </c>
      <c r="H41" s="4" t="s">
        <v>158</v>
      </c>
      <c r="I41" s="4" t="s">
        <v>75</v>
      </c>
      <c r="J41" s="4" t="s">
        <v>75</v>
      </c>
    </row>
    <row r="42" customFormat="false" ht="23.85" hidden="false" customHeight="false" outlineLevel="0" collapsed="false">
      <c r="A42" s="4" t="n">
        <v>41</v>
      </c>
      <c r="B42" s="3" t="s">
        <v>211</v>
      </c>
      <c r="C42" s="4" t="s">
        <v>188</v>
      </c>
      <c r="D42" s="4" t="s">
        <v>212</v>
      </c>
      <c r="E42" s="4" t="s">
        <v>146</v>
      </c>
      <c r="F42" s="4" t="s">
        <v>213</v>
      </c>
      <c r="G42" s="4" t="s">
        <v>214</v>
      </c>
      <c r="H42" s="4" t="s">
        <v>102</v>
      </c>
      <c r="I42" s="4" t="s">
        <v>36</v>
      </c>
      <c r="J42" s="4" t="s">
        <v>215</v>
      </c>
    </row>
    <row r="43" customFormat="false" ht="35.05" hidden="false" customHeight="false" outlineLevel="0" collapsed="false">
      <c r="A43" s="4" t="n">
        <v>42</v>
      </c>
      <c r="B43" s="3" t="s">
        <v>216</v>
      </c>
      <c r="C43" s="4" t="s">
        <v>217</v>
      </c>
      <c r="D43" s="4" t="s">
        <v>218</v>
      </c>
      <c r="E43" s="4" t="s">
        <v>40</v>
      </c>
      <c r="F43" s="4" t="s">
        <v>219</v>
      </c>
      <c r="G43" s="4" t="s">
        <v>220</v>
      </c>
      <c r="H43" s="4" t="s">
        <v>102</v>
      </c>
      <c r="I43" s="4" t="s">
        <v>36</v>
      </c>
      <c r="J43" s="4" t="s">
        <v>221</v>
      </c>
    </row>
    <row r="44" customFormat="false" ht="15" hidden="false" customHeight="false" outlineLevel="0" collapsed="false">
      <c r="A44" s="4" t="n">
        <v>43</v>
      </c>
      <c r="B44" s="3" t="s">
        <v>222</v>
      </c>
      <c r="C44" s="4" t="s">
        <v>217</v>
      </c>
      <c r="D44" s="4" t="s">
        <v>223</v>
      </c>
      <c r="E44" s="4" t="s">
        <v>40</v>
      </c>
      <c r="F44" s="4" t="s">
        <v>224</v>
      </c>
      <c r="G44" s="4" t="s">
        <v>225</v>
      </c>
      <c r="H44" s="4" t="s">
        <v>102</v>
      </c>
      <c r="I44" s="4" t="s">
        <v>36</v>
      </c>
      <c r="J44" s="4" t="s">
        <v>226</v>
      </c>
    </row>
    <row r="45" customFormat="false" ht="15" hidden="false" customHeight="false" outlineLevel="0" collapsed="false">
      <c r="A45" s="4" t="n">
        <v>44</v>
      </c>
      <c r="B45" s="3" t="s">
        <v>227</v>
      </c>
      <c r="C45" s="4" t="s">
        <v>217</v>
      </c>
      <c r="D45" s="4" t="s">
        <v>228</v>
      </c>
      <c r="E45" s="4" t="s">
        <v>142</v>
      </c>
      <c r="F45" s="4"/>
      <c r="G45" s="4" t="s">
        <v>229</v>
      </c>
      <c r="H45" s="4" t="s">
        <v>52</v>
      </c>
      <c r="I45" s="4" t="s">
        <v>36</v>
      </c>
      <c r="J45" s="4" t="s">
        <v>148</v>
      </c>
    </row>
    <row r="46" customFormat="false" ht="15" hidden="false" customHeight="false" outlineLevel="0" collapsed="false">
      <c r="A46" s="4" t="n">
        <v>45</v>
      </c>
      <c r="B46" s="3" t="s">
        <v>230</v>
      </c>
      <c r="C46" s="4" t="s">
        <v>231</v>
      </c>
      <c r="D46" s="4" t="s">
        <v>232</v>
      </c>
      <c r="E46" s="4" t="s">
        <v>156</v>
      </c>
      <c r="F46" s="4" t="s">
        <v>233</v>
      </c>
      <c r="G46" s="4" t="s">
        <v>234</v>
      </c>
      <c r="H46" s="4" t="s">
        <v>158</v>
      </c>
      <c r="I46" s="4" t="s">
        <v>75</v>
      </c>
      <c r="J46" s="4" t="s">
        <v>235</v>
      </c>
    </row>
    <row r="47" customFormat="false" ht="15" hidden="false" customHeight="false" outlineLevel="0" collapsed="false">
      <c r="A47" s="4" t="n">
        <v>46</v>
      </c>
      <c r="B47" s="3" t="s">
        <v>236</v>
      </c>
      <c r="C47" s="4" t="s">
        <v>231</v>
      </c>
      <c r="D47" s="4" t="s">
        <v>237</v>
      </c>
      <c r="E47" s="4" t="s">
        <v>142</v>
      </c>
      <c r="F47" s="4"/>
      <c r="G47" s="4" t="s">
        <v>234</v>
      </c>
      <c r="H47" s="4" t="s">
        <v>158</v>
      </c>
      <c r="I47" s="4" t="s">
        <v>75</v>
      </c>
      <c r="J47" s="4" t="s">
        <v>238</v>
      </c>
    </row>
    <row r="48" customFormat="false" ht="15" hidden="false" customHeight="false" outlineLevel="0" collapsed="false">
      <c r="A48" s="4" t="n">
        <v>47</v>
      </c>
      <c r="B48" s="3" t="s">
        <v>239</v>
      </c>
      <c r="C48" s="4" t="s">
        <v>231</v>
      </c>
      <c r="D48" s="4" t="s">
        <v>240</v>
      </c>
      <c r="E48" s="4" t="s">
        <v>40</v>
      </c>
      <c r="F48" s="4"/>
      <c r="G48" s="4" t="s">
        <v>234</v>
      </c>
      <c r="H48" s="4" t="s">
        <v>158</v>
      </c>
      <c r="I48" s="4" t="s">
        <v>75</v>
      </c>
      <c r="J48" s="4" t="s">
        <v>241</v>
      </c>
    </row>
    <row r="49" customFormat="false" ht="15" hidden="false" customHeight="false" outlineLevel="0" collapsed="false">
      <c r="A49" s="4" t="n">
        <v>48</v>
      </c>
      <c r="B49" s="3" t="s">
        <v>242</v>
      </c>
      <c r="C49" s="4" t="s">
        <v>243</v>
      </c>
      <c r="D49" s="4" t="s">
        <v>244</v>
      </c>
      <c r="E49" s="4" t="s">
        <v>33</v>
      </c>
      <c r="F49" s="4"/>
      <c r="G49" s="4" t="s">
        <v>245</v>
      </c>
      <c r="H49" s="4" t="s">
        <v>35</v>
      </c>
      <c r="I49" s="4" t="s">
        <v>36</v>
      </c>
      <c r="J49" s="4" t="s">
        <v>37</v>
      </c>
    </row>
    <row r="50" customFormat="false" ht="35.05" hidden="false" customHeight="false" outlineLevel="0" collapsed="false">
      <c r="A50" s="4" t="n">
        <v>49</v>
      </c>
      <c r="B50" s="3" t="s">
        <v>246</v>
      </c>
      <c r="C50" s="4" t="s">
        <v>243</v>
      </c>
      <c r="D50" s="4" t="s">
        <v>247</v>
      </c>
      <c r="E50" s="4" t="s">
        <v>40</v>
      </c>
      <c r="F50" s="4" t="s">
        <v>248</v>
      </c>
      <c r="G50" s="4" t="s">
        <v>245</v>
      </c>
      <c r="H50" s="4" t="s">
        <v>74</v>
      </c>
      <c r="I50" s="4" t="s">
        <v>75</v>
      </c>
      <c r="J50" s="4" t="s">
        <v>249</v>
      </c>
    </row>
    <row r="51" customFormat="false" ht="15" hidden="false" customHeight="false" outlineLevel="0" collapsed="false">
      <c r="A51" s="4" t="n">
        <v>50</v>
      </c>
      <c r="B51" s="3" t="s">
        <v>250</v>
      </c>
      <c r="C51" s="4" t="s">
        <v>251</v>
      </c>
      <c r="D51" s="4" t="s">
        <v>252</v>
      </c>
      <c r="E51" s="4" t="s">
        <v>40</v>
      </c>
      <c r="F51" s="4" t="s">
        <v>253</v>
      </c>
      <c r="G51" s="4" t="s">
        <v>254</v>
      </c>
      <c r="H51" s="4" t="s">
        <v>35</v>
      </c>
      <c r="I51" s="4" t="s">
        <v>36</v>
      </c>
      <c r="J51" s="4" t="s">
        <v>255</v>
      </c>
    </row>
    <row r="52" customFormat="false" ht="15" hidden="false" customHeight="false" outlineLevel="0" collapsed="false">
      <c r="A52" s="4" t="n">
        <v>51</v>
      </c>
      <c r="B52" s="3" t="s">
        <v>256</v>
      </c>
      <c r="C52" s="4" t="s">
        <v>251</v>
      </c>
      <c r="D52" s="4" t="s">
        <v>257</v>
      </c>
      <c r="E52" s="4" t="s">
        <v>40</v>
      </c>
      <c r="F52" s="4" t="s">
        <v>258</v>
      </c>
      <c r="G52" s="4" t="s">
        <v>259</v>
      </c>
      <c r="H52" s="4" t="s">
        <v>260</v>
      </c>
      <c r="I52" s="4" t="s">
        <v>36</v>
      </c>
      <c r="J52" s="4" t="s">
        <v>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4A30"/>
    <pageSetUpPr fitToPage="false"/>
  </sheetPr>
  <dimension ref="A1: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22"/>
    <col collapsed="false" customWidth="true" hidden="false" outlineLevel="0" max="4" min="4" style="0" width="7"/>
    <col collapsed="false" customWidth="true" hidden="false" outlineLevel="0" max="9" min="5" style="0" width="30"/>
    <col collapsed="false" customWidth="true" hidden="false" outlineLevel="0" max="10" min="10" style="0" width="44"/>
  </cols>
  <sheetData>
    <row r="1" customFormat="false" ht="15" hidden="false" customHeight="false" outlineLevel="0" collapsed="false">
      <c r="A1" s="5" t="s">
        <v>86</v>
      </c>
      <c r="B1" s="5" t="s">
        <v>91</v>
      </c>
      <c r="C1" s="5" t="s">
        <v>95</v>
      </c>
      <c r="D1" s="5" t="s">
        <v>262</v>
      </c>
      <c r="E1" s="5" t="s">
        <v>263</v>
      </c>
      <c r="F1" s="5" t="s">
        <v>264</v>
      </c>
      <c r="G1" s="5" t="s">
        <v>265</v>
      </c>
      <c r="H1" s="5" t="s">
        <v>266</v>
      </c>
      <c r="I1" s="5" t="s">
        <v>267</v>
      </c>
      <c r="J1" s="5" t="s">
        <v>268</v>
      </c>
    </row>
    <row r="2" customFormat="false" ht="46.25" hidden="false" customHeight="false" outlineLevel="0" collapsed="false">
      <c r="A2" s="4" t="s">
        <v>90</v>
      </c>
      <c r="B2" s="4" t="s">
        <v>94</v>
      </c>
      <c r="C2" s="4" t="s">
        <v>97</v>
      </c>
      <c r="D2" s="4" t="n">
        <v>1</v>
      </c>
      <c r="E2" s="4" t="s">
        <v>269</v>
      </c>
      <c r="F2" s="4" t="s">
        <v>270</v>
      </c>
      <c r="G2" s="4" t="s">
        <v>271</v>
      </c>
      <c r="H2" s="4" t="s">
        <v>272</v>
      </c>
      <c r="I2" s="4" t="s">
        <v>273</v>
      </c>
      <c r="J2" s="4" t="s">
        <v>274</v>
      </c>
    </row>
    <row r="3" customFormat="false" ht="23.85" hidden="false" customHeight="false" outlineLevel="0" collapsed="false">
      <c r="A3" s="4" t="s">
        <v>90</v>
      </c>
      <c r="B3" s="4" t="s">
        <v>94</v>
      </c>
      <c r="C3" s="4" t="s">
        <v>275</v>
      </c>
      <c r="D3" s="4" t="n">
        <v>3</v>
      </c>
      <c r="E3" s="4" t="s">
        <v>276</v>
      </c>
      <c r="F3" s="4" t="s">
        <v>277</v>
      </c>
      <c r="G3" s="4" t="s">
        <v>278</v>
      </c>
      <c r="H3" s="4" t="s">
        <v>279</v>
      </c>
      <c r="I3" s="4" t="s">
        <v>280</v>
      </c>
      <c r="J3" s="4" t="s">
        <v>281</v>
      </c>
    </row>
    <row r="4" customFormat="false" ht="15" hidden="false" customHeight="false" outlineLevel="0" collapsed="false">
      <c r="A4" s="4" t="s">
        <v>90</v>
      </c>
      <c r="B4" s="4" t="s">
        <v>282</v>
      </c>
      <c r="C4" s="4" t="s">
        <v>283</v>
      </c>
      <c r="D4" s="4" t="n">
        <v>2</v>
      </c>
      <c r="E4" s="4" t="s">
        <v>284</v>
      </c>
      <c r="F4" s="4" t="s">
        <v>284</v>
      </c>
      <c r="G4" s="4" t="s">
        <v>285</v>
      </c>
      <c r="H4" s="4" t="s">
        <v>286</v>
      </c>
      <c r="I4" s="4" t="s">
        <v>286</v>
      </c>
      <c r="J4" s="4" t="s">
        <v>287</v>
      </c>
    </row>
    <row r="5" customFormat="false" ht="15" hidden="false" customHeight="false" outlineLevel="0" collapsed="false">
      <c r="A5" s="4" t="s">
        <v>90</v>
      </c>
      <c r="B5" s="4" t="s">
        <v>282</v>
      </c>
      <c r="C5" s="4" t="s">
        <v>288</v>
      </c>
      <c r="D5" s="4" t="n">
        <v>5</v>
      </c>
      <c r="E5" s="4" t="s">
        <v>289</v>
      </c>
      <c r="F5" s="4" t="s">
        <v>290</v>
      </c>
      <c r="G5" s="4" t="s">
        <v>291</v>
      </c>
      <c r="H5" s="4" t="s">
        <v>292</v>
      </c>
      <c r="I5" s="4" t="s">
        <v>291</v>
      </c>
      <c r="J5" s="4" t="s">
        <v>293</v>
      </c>
    </row>
    <row r="6" customFormat="false" ht="15" hidden="false" customHeight="false" outlineLevel="0" collapsed="false">
      <c r="A6" s="4" t="s">
        <v>90</v>
      </c>
      <c r="B6" s="4" t="s">
        <v>294</v>
      </c>
      <c r="C6" s="4" t="s">
        <v>294</v>
      </c>
      <c r="D6" s="4" t="n">
        <v>2</v>
      </c>
      <c r="E6" s="4" t="s">
        <v>295</v>
      </c>
      <c r="F6" s="4" t="s">
        <v>296</v>
      </c>
      <c r="G6" s="4" t="s">
        <v>297</v>
      </c>
      <c r="H6" s="4" t="s">
        <v>298</v>
      </c>
      <c r="I6" s="4" t="s">
        <v>299</v>
      </c>
      <c r="J6" s="4"/>
    </row>
    <row r="7" customFormat="false" ht="15" hidden="false" customHeight="false" outlineLevel="0" collapsed="false">
      <c r="A7" s="4" t="s">
        <v>90</v>
      </c>
      <c r="B7" s="4" t="s">
        <v>294</v>
      </c>
      <c r="C7" s="4" t="s">
        <v>300</v>
      </c>
      <c r="D7" s="4" t="n">
        <v>3</v>
      </c>
      <c r="E7" s="4" t="s">
        <v>301</v>
      </c>
      <c r="F7" s="4" t="s">
        <v>302</v>
      </c>
      <c r="G7" s="4" t="s">
        <v>303</v>
      </c>
      <c r="H7" s="4" t="s">
        <v>302</v>
      </c>
      <c r="I7" s="4" t="s">
        <v>304</v>
      </c>
      <c r="J7" s="4"/>
    </row>
    <row r="8" customFormat="false" ht="23.85" hidden="false" customHeight="false" outlineLevel="0" collapsed="false">
      <c r="A8" s="4" t="s">
        <v>90</v>
      </c>
      <c r="B8" s="4" t="s">
        <v>305</v>
      </c>
      <c r="C8" s="4" t="s">
        <v>306</v>
      </c>
      <c r="D8" s="4" t="n">
        <v>2</v>
      </c>
      <c r="E8" s="4" t="s">
        <v>295</v>
      </c>
      <c r="F8" s="4" t="s">
        <v>307</v>
      </c>
      <c r="G8" s="4" t="s">
        <v>308</v>
      </c>
      <c r="H8" s="4" t="s">
        <v>298</v>
      </c>
      <c r="I8" s="4" t="s">
        <v>309</v>
      </c>
      <c r="J8" s="4"/>
    </row>
    <row r="9" customFormat="false" ht="15" hidden="false" customHeight="false" outlineLevel="0" collapsed="false">
      <c r="A9" s="4" t="s">
        <v>90</v>
      </c>
      <c r="B9" s="4" t="s">
        <v>305</v>
      </c>
      <c r="C9" s="4" t="s">
        <v>310</v>
      </c>
      <c r="D9" s="4" t="n">
        <v>2</v>
      </c>
      <c r="E9" s="4" t="s">
        <v>295</v>
      </c>
      <c r="F9" s="4" t="s">
        <v>311</v>
      </c>
      <c r="G9" s="4" t="s">
        <v>312</v>
      </c>
      <c r="H9" s="4" t="s">
        <v>298</v>
      </c>
      <c r="I9" s="4" t="s">
        <v>313</v>
      </c>
      <c r="J9" s="4"/>
    </row>
    <row r="10" customFormat="false" ht="23.85" hidden="false" customHeight="false" outlineLevel="0" collapsed="false">
      <c r="A10" s="4" t="s">
        <v>90</v>
      </c>
      <c r="B10" s="4" t="s">
        <v>314</v>
      </c>
      <c r="C10" s="4" t="s">
        <v>315</v>
      </c>
      <c r="D10" s="4" t="n">
        <v>3</v>
      </c>
      <c r="E10" s="4" t="s">
        <v>316</v>
      </c>
      <c r="F10" s="4" t="s">
        <v>317</v>
      </c>
      <c r="G10" s="4" t="s">
        <v>318</v>
      </c>
      <c r="H10" s="4" t="s">
        <v>298</v>
      </c>
      <c r="I10" s="4" t="s">
        <v>319</v>
      </c>
      <c r="J10" s="4" t="s">
        <v>320</v>
      </c>
    </row>
    <row r="11" customFormat="false" ht="15" hidden="false" customHeight="false" outlineLevel="0" collapsed="false">
      <c r="A11" s="4" t="s">
        <v>90</v>
      </c>
      <c r="B11" s="4" t="s">
        <v>314</v>
      </c>
      <c r="C11" s="4" t="s">
        <v>321</v>
      </c>
      <c r="D11" s="4" t="n">
        <v>3</v>
      </c>
      <c r="E11" s="4" t="s">
        <v>322</v>
      </c>
      <c r="F11" s="4" t="s">
        <v>317</v>
      </c>
      <c r="G11" s="4" t="s">
        <v>323</v>
      </c>
      <c r="H11" s="4" t="s">
        <v>324</v>
      </c>
      <c r="I11" s="4" t="s">
        <v>325</v>
      </c>
      <c r="J11" s="4" t="s">
        <v>326</v>
      </c>
    </row>
    <row r="12" customFormat="false" ht="23.85" hidden="false" customHeight="false" outlineLevel="0" collapsed="false">
      <c r="A12" s="4" t="s">
        <v>90</v>
      </c>
      <c r="B12" s="4" t="s">
        <v>327</v>
      </c>
      <c r="C12" s="4" t="s">
        <v>328</v>
      </c>
      <c r="D12" s="4" t="n">
        <v>3</v>
      </c>
      <c r="E12" s="4" t="s">
        <v>329</v>
      </c>
      <c r="F12" s="4" t="s">
        <v>330</v>
      </c>
      <c r="G12" s="4" t="s">
        <v>331</v>
      </c>
      <c r="H12" s="4" t="s">
        <v>324</v>
      </c>
      <c r="I12" s="4" t="s">
        <v>332</v>
      </c>
      <c r="J12" s="4" t="s">
        <v>333</v>
      </c>
    </row>
    <row r="13" customFormat="false" ht="23.85" hidden="false" customHeight="false" outlineLevel="0" collapsed="false">
      <c r="A13" s="4" t="s">
        <v>90</v>
      </c>
      <c r="B13" s="4" t="s">
        <v>334</v>
      </c>
      <c r="C13" s="4" t="s">
        <v>335</v>
      </c>
      <c r="D13" s="4" t="n">
        <v>3</v>
      </c>
      <c r="E13" s="4" t="s">
        <v>336</v>
      </c>
      <c r="F13" s="4" t="s">
        <v>336</v>
      </c>
      <c r="G13" s="4" t="s">
        <v>337</v>
      </c>
      <c r="H13" s="4" t="s">
        <v>279</v>
      </c>
      <c r="I13" s="4" t="s">
        <v>336</v>
      </c>
      <c r="J13" s="4" t="s">
        <v>338</v>
      </c>
    </row>
    <row r="14" customFormat="false" ht="15" hidden="false" customHeight="false" outlineLevel="0" collapsed="false">
      <c r="A14" s="4" t="s">
        <v>90</v>
      </c>
      <c r="B14" s="4" t="s">
        <v>339</v>
      </c>
      <c r="C14" s="4" t="s">
        <v>339</v>
      </c>
      <c r="D14" s="4" t="n">
        <v>5</v>
      </c>
      <c r="E14" s="4" t="s">
        <v>289</v>
      </c>
      <c r="F14" s="4" t="s">
        <v>290</v>
      </c>
      <c r="G14" s="4" t="s">
        <v>291</v>
      </c>
      <c r="H14" s="4" t="s">
        <v>292</v>
      </c>
      <c r="I14" s="4" t="s">
        <v>291</v>
      </c>
      <c r="J14" s="4"/>
    </row>
    <row r="15" customFormat="false" ht="15" hidden="false" customHeight="false" outlineLevel="0" collapsed="false">
      <c r="A15" s="4" t="s">
        <v>340</v>
      </c>
      <c r="B15" s="4" t="s">
        <v>341</v>
      </c>
      <c r="C15" s="4" t="s">
        <v>342</v>
      </c>
      <c r="D15" s="4" t="n">
        <v>4</v>
      </c>
      <c r="E15" s="4" t="s">
        <v>343</v>
      </c>
      <c r="F15" s="4" t="s">
        <v>343</v>
      </c>
      <c r="G15" s="4" t="s">
        <v>344</v>
      </c>
      <c r="H15" s="4" t="s">
        <v>345</v>
      </c>
      <c r="I15" s="4" t="s">
        <v>343</v>
      </c>
      <c r="J15" s="4" t="s">
        <v>346</v>
      </c>
    </row>
    <row r="16" customFormat="false" ht="23.85" hidden="false" customHeight="false" outlineLevel="0" collapsed="false">
      <c r="A16" s="4" t="s">
        <v>340</v>
      </c>
      <c r="B16" s="4" t="s">
        <v>347</v>
      </c>
      <c r="C16" s="4" t="s">
        <v>348</v>
      </c>
      <c r="D16" s="4" t="n">
        <v>4</v>
      </c>
      <c r="E16" s="4" t="s">
        <v>349</v>
      </c>
      <c r="F16" s="4" t="s">
        <v>350</v>
      </c>
      <c r="G16" s="4" t="s">
        <v>351</v>
      </c>
      <c r="H16" s="4" t="s">
        <v>345</v>
      </c>
      <c r="I16" s="4" t="s">
        <v>352</v>
      </c>
      <c r="J16" s="4" t="s">
        <v>353</v>
      </c>
    </row>
    <row r="17" customFormat="false" ht="23.85" hidden="false" customHeight="false" outlineLevel="0" collapsed="false">
      <c r="A17" s="4" t="s">
        <v>340</v>
      </c>
      <c r="B17" s="4" t="s">
        <v>354</v>
      </c>
      <c r="C17" s="4" t="s">
        <v>355</v>
      </c>
      <c r="D17" s="4" t="n">
        <v>4</v>
      </c>
      <c r="E17" s="4" t="s">
        <v>356</v>
      </c>
      <c r="F17" s="4" t="s">
        <v>357</v>
      </c>
      <c r="G17" s="4" t="s">
        <v>358</v>
      </c>
      <c r="H17" s="4" t="s">
        <v>345</v>
      </c>
      <c r="I17" s="4" t="s">
        <v>359</v>
      </c>
      <c r="J17" s="4"/>
    </row>
    <row r="18" customFormat="false" ht="23.85" hidden="false" customHeight="false" outlineLevel="0" collapsed="false">
      <c r="A18" s="4" t="s">
        <v>340</v>
      </c>
      <c r="B18" s="4" t="s">
        <v>360</v>
      </c>
      <c r="C18" s="4" t="s">
        <v>361</v>
      </c>
      <c r="D18" s="4" t="n">
        <v>4</v>
      </c>
      <c r="E18" s="4" t="s">
        <v>322</v>
      </c>
      <c r="F18" s="4" t="s">
        <v>362</v>
      </c>
      <c r="G18" s="4" t="s">
        <v>363</v>
      </c>
      <c r="H18" s="4" t="s">
        <v>345</v>
      </c>
      <c r="I18" s="4" t="s">
        <v>364</v>
      </c>
      <c r="J18" s="4"/>
    </row>
    <row r="19" customFormat="false" ht="15" hidden="false" customHeight="false" outlineLevel="0" collapsed="false">
      <c r="A19" s="4" t="s">
        <v>340</v>
      </c>
      <c r="B19" s="4" t="s">
        <v>365</v>
      </c>
      <c r="C19" s="4" t="s">
        <v>366</v>
      </c>
      <c r="D19" s="4" t="n">
        <v>4</v>
      </c>
      <c r="E19" s="4" t="s">
        <v>324</v>
      </c>
      <c r="F19" s="4" t="s">
        <v>330</v>
      </c>
      <c r="G19" s="4" t="s">
        <v>367</v>
      </c>
      <c r="H19" s="4" t="s">
        <v>345</v>
      </c>
      <c r="I19" s="4" t="s">
        <v>368</v>
      </c>
      <c r="J19" s="4"/>
    </row>
    <row r="20" customFormat="false" ht="15" hidden="false" customHeight="false" outlineLevel="0" collapsed="false">
      <c r="A20" s="4" t="s">
        <v>340</v>
      </c>
      <c r="B20" s="4" t="s">
        <v>369</v>
      </c>
      <c r="C20" s="4" t="s">
        <v>369</v>
      </c>
      <c r="D20" s="4" t="n">
        <v>5</v>
      </c>
      <c r="E20" s="4" t="s">
        <v>370</v>
      </c>
      <c r="F20" s="4" t="s">
        <v>290</v>
      </c>
      <c r="G20" s="4" t="s">
        <v>371</v>
      </c>
      <c r="H20" s="4" t="s">
        <v>345</v>
      </c>
      <c r="I20" s="4" t="s">
        <v>291</v>
      </c>
      <c r="J20" s="4"/>
    </row>
    <row r="21" customFormat="false" ht="23.85" hidden="false" customHeight="false" outlineLevel="0" collapsed="false">
      <c r="A21" s="4" t="s">
        <v>372</v>
      </c>
      <c r="B21" s="4" t="s">
        <v>373</v>
      </c>
      <c r="C21" s="4" t="s">
        <v>374</v>
      </c>
      <c r="D21" s="4" t="n">
        <v>5</v>
      </c>
      <c r="E21" s="4" t="s">
        <v>375</v>
      </c>
      <c r="F21" s="4" t="s">
        <v>376</v>
      </c>
      <c r="G21" s="4" t="s">
        <v>376</v>
      </c>
      <c r="H21" s="4" t="s">
        <v>292</v>
      </c>
      <c r="I21" s="4" t="s">
        <v>291</v>
      </c>
      <c r="J21" s="4"/>
    </row>
    <row r="22" customFormat="false" ht="23.85" hidden="false" customHeight="false" outlineLevel="0" collapsed="false">
      <c r="A22" s="4" t="s">
        <v>377</v>
      </c>
      <c r="B22" s="4" t="s">
        <v>378</v>
      </c>
      <c r="C22" s="4"/>
      <c r="D22" s="4" t="n">
        <v>5</v>
      </c>
      <c r="E22" s="4" t="s">
        <v>379</v>
      </c>
      <c r="F22" s="4" t="s">
        <v>380</v>
      </c>
      <c r="G22" s="4" t="s">
        <v>380</v>
      </c>
      <c r="H22" s="4" t="s">
        <v>381</v>
      </c>
      <c r="I22" s="4" t="s">
        <v>381</v>
      </c>
      <c r="J22" s="4"/>
    </row>
    <row r="23" customFormat="false" ht="23.85" hidden="false" customHeight="false" outlineLevel="0" collapsed="false">
      <c r="A23" s="4" t="s">
        <v>382</v>
      </c>
      <c r="B23" s="4" t="s">
        <v>383</v>
      </c>
      <c r="C23" s="4"/>
      <c r="D23" s="4" t="n">
        <v>5</v>
      </c>
      <c r="E23" s="4" t="s">
        <v>384</v>
      </c>
      <c r="F23" s="4"/>
      <c r="G23" s="4" t="s">
        <v>385</v>
      </c>
      <c r="H23" s="4" t="s">
        <v>386</v>
      </c>
      <c r="I23" s="4" t="s">
        <v>387</v>
      </c>
      <c r="J23" s="4" t="s">
        <v>388</v>
      </c>
    </row>
    <row r="25" customFormat="false" ht="15" hidden="false" customHeight="false" outlineLevel="0" collapsed="false">
      <c r="A25" s="6" t="s">
        <v>389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4A30"/>
    <pageSetUpPr fitToPage="false"/>
  </sheetPr>
  <dimension ref="A1:O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7"/>
    <col collapsed="false" customWidth="true" hidden="false" outlineLevel="0" max="3" min="3" style="0" width="8"/>
    <col collapsed="false" customWidth="true" hidden="false" outlineLevel="0" max="4" min="4" style="0" width="11"/>
    <col collapsed="false" customWidth="true" hidden="false" outlineLevel="0" max="5" min="5" style="0" width="8"/>
    <col collapsed="false" customWidth="true" hidden="false" outlineLevel="0" max="6" min="6" style="0" width="9"/>
    <col collapsed="false" customWidth="true" hidden="false" outlineLevel="0" max="8" min="7" style="0" width="12"/>
    <col collapsed="false" customWidth="true" hidden="false" outlineLevel="0" max="9" min="9" style="0" width="10"/>
    <col collapsed="false" customWidth="true" hidden="false" outlineLevel="0" max="10" min="10" style="0" width="12"/>
    <col collapsed="false" customWidth="true" hidden="false" outlineLevel="0" max="11" min="11" style="0" width="10"/>
    <col collapsed="false" customWidth="true" hidden="false" outlineLevel="0" max="12" min="12" style="0" width="11"/>
    <col collapsed="false" customWidth="true" hidden="false" outlineLevel="0" max="13" min="13" style="0" width="13"/>
    <col collapsed="false" customWidth="true" hidden="false" outlineLevel="0" max="14" min="14" style="0" width="11"/>
    <col collapsed="false" customWidth="true" hidden="false" outlineLevel="0" max="15" min="15" style="0" width="26"/>
  </cols>
  <sheetData>
    <row r="1" customFormat="false" ht="17.35" hidden="false" customHeight="false" outlineLevel="0" collapsed="false">
      <c r="A1" s="1" t="s">
        <v>390</v>
      </c>
    </row>
    <row r="2" customFormat="false" ht="15" hidden="false" customHeight="false" outlineLevel="0" collapsed="false">
      <c r="A2" s="6" t="s">
        <v>391</v>
      </c>
    </row>
    <row r="3" customFormat="false" ht="15" hidden="false" customHeight="false" outlineLevel="0" collapsed="false">
      <c r="A3" s="7" t="s">
        <v>392</v>
      </c>
      <c r="F3" s="8" t="n">
        <v>15</v>
      </c>
      <c r="G3" s="6" t="s">
        <v>393</v>
      </c>
    </row>
    <row r="5" customFormat="false" ht="35.05" hidden="false" customHeight="false" outlineLevel="0" collapsed="false">
      <c r="A5" s="5" t="s">
        <v>394</v>
      </c>
      <c r="B5" s="5" t="s">
        <v>262</v>
      </c>
      <c r="C5" s="5" t="s">
        <v>395</v>
      </c>
      <c r="D5" s="5" t="s">
        <v>396</v>
      </c>
      <c r="E5" s="5" t="s">
        <v>43</v>
      </c>
      <c r="F5" s="5" t="s">
        <v>397</v>
      </c>
      <c r="G5" s="5" t="s">
        <v>398</v>
      </c>
      <c r="H5" s="5" t="s">
        <v>399</v>
      </c>
      <c r="I5" s="5" t="s">
        <v>400</v>
      </c>
      <c r="J5" s="5" t="s">
        <v>401</v>
      </c>
      <c r="K5" s="5" t="s">
        <v>402</v>
      </c>
      <c r="L5" s="5" t="s">
        <v>403</v>
      </c>
      <c r="M5" s="5" t="s">
        <v>404</v>
      </c>
      <c r="N5" s="5" t="s">
        <v>405</v>
      </c>
      <c r="O5" s="5" t="s">
        <v>406</v>
      </c>
    </row>
    <row r="6" customFormat="false" ht="15" hidden="false" customHeight="false" outlineLevel="0" collapsed="false">
      <c r="A6" s="9" t="s">
        <v>407</v>
      </c>
      <c r="B6" s="10" t="n">
        <v>1</v>
      </c>
      <c r="C6" s="11" t="s">
        <v>36</v>
      </c>
      <c r="D6" s="11" t="s">
        <v>36</v>
      </c>
      <c r="E6" s="11" t="s">
        <v>36</v>
      </c>
      <c r="F6" s="11" t="s">
        <v>408</v>
      </c>
      <c r="G6" s="11" t="s">
        <v>36</v>
      </c>
      <c r="H6" s="9" t="n">
        <f aca="false">COUNTIF(C6:G6,"Y")+COUNTIF(C6:G6,"P")</f>
        <v>5</v>
      </c>
      <c r="I6" s="12"/>
      <c r="J6" s="12"/>
      <c r="K6" s="12"/>
      <c r="L6" s="12"/>
      <c r="M6" s="12"/>
      <c r="N6" s="9" t="str">
        <f aca="false">IF(COUNT(I6:M6)=0,"",COUNTIF(I6:M6,"&gt;="&amp;$F$3))</f>
        <v/>
      </c>
      <c r="O6" s="9" t="str">
        <f aca="false">IF(N6="",IF(H6&gt;=5,"Full presence, depth pending",IF(H6=4,"4 of 5, depth pending","Low overlap")),IF(N6&gt;=4,"Real overlap",IF(N6&gt;=2,"Partial overlap","Low overlap")))</f>
        <v>Full presence, depth pending</v>
      </c>
    </row>
    <row r="7" customFormat="false" ht="15" hidden="false" customHeight="false" outlineLevel="0" collapsed="false">
      <c r="A7" s="9" t="s">
        <v>409</v>
      </c>
      <c r="B7" s="10" t="n">
        <v>3</v>
      </c>
      <c r="C7" s="11" t="s">
        <v>36</v>
      </c>
      <c r="D7" s="11" t="s">
        <v>36</v>
      </c>
      <c r="E7" s="11" t="s">
        <v>36</v>
      </c>
      <c r="F7" s="11" t="s">
        <v>408</v>
      </c>
      <c r="G7" s="11" t="s">
        <v>36</v>
      </c>
      <c r="H7" s="9" t="n">
        <f aca="false">COUNTIF(C7:G7,"Y")+COUNTIF(C7:G7,"P")</f>
        <v>5</v>
      </c>
      <c r="I7" s="12"/>
      <c r="J7" s="12"/>
      <c r="K7" s="12"/>
      <c r="L7" s="12"/>
      <c r="M7" s="12"/>
      <c r="N7" s="9" t="str">
        <f aca="false">IF(COUNT(I7:M7)=0,"",COUNTIF(I7:M7,"&gt;="&amp;$F$3))</f>
        <v/>
      </c>
      <c r="O7" s="9" t="str">
        <f aca="false">IF(N7="",IF(H7&gt;=5,"Full presence, depth pending",IF(H7=4,"4 of 5, depth pending","Low overlap")),IF(N7&gt;=4,"Real overlap",IF(N7&gt;=2,"Partial overlap","Low overlap")))</f>
        <v>Full presence, depth pending</v>
      </c>
    </row>
    <row r="8" customFormat="false" ht="15" hidden="false" customHeight="false" outlineLevel="0" collapsed="false">
      <c r="A8" s="9" t="s">
        <v>410</v>
      </c>
      <c r="B8" s="10" t="n">
        <v>2</v>
      </c>
      <c r="C8" s="11" t="s">
        <v>36</v>
      </c>
      <c r="D8" s="11" t="s">
        <v>36</v>
      </c>
      <c r="E8" s="11" t="s">
        <v>36</v>
      </c>
      <c r="F8" s="11" t="s">
        <v>36</v>
      </c>
      <c r="G8" s="11" t="s">
        <v>36</v>
      </c>
      <c r="H8" s="9" t="n">
        <f aca="false">COUNTIF(C8:G8,"Y")+COUNTIF(C8:G8,"P")</f>
        <v>5</v>
      </c>
      <c r="I8" s="12"/>
      <c r="J8" s="12"/>
      <c r="K8" s="12"/>
      <c r="L8" s="12"/>
      <c r="M8" s="12"/>
      <c r="N8" s="9" t="str">
        <f aca="false">IF(COUNT(I8:M8)=0,"",COUNTIF(I8:M8,"&gt;="&amp;$F$3))</f>
        <v/>
      </c>
      <c r="O8" s="9" t="str">
        <f aca="false">IF(N8="",IF(H8&gt;=5,"Full presence, depth pending",IF(H8=4,"4 of 5, depth pending","Low overlap")),IF(N8&gt;=4,"Real overlap",IF(N8&gt;=2,"Partial overlap","Low overlap")))</f>
        <v>Full presence, depth pending</v>
      </c>
    </row>
    <row r="9" customFormat="false" ht="15" hidden="false" customHeight="false" outlineLevel="0" collapsed="false">
      <c r="A9" s="9" t="s">
        <v>411</v>
      </c>
      <c r="B9" s="10" t="n">
        <v>2</v>
      </c>
      <c r="C9" s="11" t="s">
        <v>36</v>
      </c>
      <c r="D9" s="11" t="s">
        <v>36</v>
      </c>
      <c r="E9" s="11" t="s">
        <v>36</v>
      </c>
      <c r="F9" s="11" t="s">
        <v>408</v>
      </c>
      <c r="G9" s="11" t="s">
        <v>36</v>
      </c>
      <c r="H9" s="9" t="n">
        <f aca="false">COUNTIF(C9:G9,"Y")+COUNTIF(C9:G9,"P")</f>
        <v>5</v>
      </c>
      <c r="I9" s="12"/>
      <c r="J9" s="12"/>
      <c r="K9" s="12"/>
      <c r="L9" s="12"/>
      <c r="M9" s="12"/>
      <c r="N9" s="9" t="str">
        <f aca="false">IF(COUNT(I9:M9)=0,"",COUNTIF(I9:M9,"&gt;="&amp;$F$3))</f>
        <v/>
      </c>
      <c r="O9" s="9" t="str">
        <f aca="false">IF(N9="",IF(H9&gt;=5,"Full presence, depth pending",IF(H9=4,"4 of 5, depth pending","Low overlap")),IF(N9&gt;=4,"Real overlap",IF(N9&gt;=2,"Partial overlap","Low overlap")))</f>
        <v>Full presence, depth pending</v>
      </c>
    </row>
    <row r="10" customFormat="false" ht="15" hidden="false" customHeight="false" outlineLevel="0" collapsed="false">
      <c r="A10" s="9" t="s">
        <v>412</v>
      </c>
      <c r="B10" s="10" t="n">
        <v>2</v>
      </c>
      <c r="C10" s="11" t="s">
        <v>36</v>
      </c>
      <c r="D10" s="11" t="s">
        <v>36</v>
      </c>
      <c r="E10" s="11" t="s">
        <v>36</v>
      </c>
      <c r="F10" s="11" t="s">
        <v>408</v>
      </c>
      <c r="G10" s="11" t="s">
        <v>36</v>
      </c>
      <c r="H10" s="9" t="n">
        <f aca="false">COUNTIF(C10:G10,"Y")+COUNTIF(C10:G10,"P")</f>
        <v>5</v>
      </c>
      <c r="I10" s="12"/>
      <c r="J10" s="12"/>
      <c r="K10" s="12"/>
      <c r="L10" s="12"/>
      <c r="M10" s="12"/>
      <c r="N10" s="9" t="str">
        <f aca="false">IF(COUNT(I10:M10)=0,"",COUNTIF(I10:M10,"&gt;="&amp;$F$3))</f>
        <v/>
      </c>
      <c r="O10" s="9" t="str">
        <f aca="false">IF(N10="",IF(H10&gt;=5,"Full presence, depth pending",IF(H10=4,"4 of 5, depth pending","Low overlap")),IF(N10&gt;=4,"Real overlap",IF(N10&gt;=2,"Partial overlap","Low overlap")))</f>
        <v>Full presence, depth pending</v>
      </c>
    </row>
    <row r="11" customFormat="false" ht="15" hidden="false" customHeight="false" outlineLevel="0" collapsed="false">
      <c r="A11" s="9" t="s">
        <v>413</v>
      </c>
      <c r="B11" s="10" t="n">
        <v>3</v>
      </c>
      <c r="C11" s="11" t="s">
        <v>36</v>
      </c>
      <c r="D11" s="11" t="s">
        <v>36</v>
      </c>
      <c r="E11" s="11" t="s">
        <v>36</v>
      </c>
      <c r="F11" s="11" t="s">
        <v>408</v>
      </c>
      <c r="G11" s="11" t="s">
        <v>36</v>
      </c>
      <c r="H11" s="9" t="n">
        <f aca="false">COUNTIF(C11:G11,"Y")+COUNTIF(C11:G11,"P")</f>
        <v>5</v>
      </c>
      <c r="I11" s="12"/>
      <c r="J11" s="12"/>
      <c r="K11" s="12"/>
      <c r="L11" s="12"/>
      <c r="M11" s="12"/>
      <c r="N11" s="9" t="str">
        <f aca="false">IF(COUNT(I11:M11)=0,"",COUNTIF(I11:M11,"&gt;="&amp;$F$3))</f>
        <v/>
      </c>
      <c r="O11" s="9" t="str">
        <f aca="false">IF(N11="",IF(H11&gt;=5,"Full presence, depth pending",IF(H11=4,"4 of 5, depth pending","Low overlap")),IF(N11&gt;=4,"Real overlap",IF(N11&gt;=2,"Partial overlap","Low overlap")))</f>
        <v>Full presence, depth pending</v>
      </c>
    </row>
    <row r="12" customFormat="false" ht="15" hidden="false" customHeight="false" outlineLevel="0" collapsed="false">
      <c r="A12" s="9" t="s">
        <v>414</v>
      </c>
      <c r="B12" s="10" t="n">
        <v>3</v>
      </c>
      <c r="C12" s="11" t="s">
        <v>36</v>
      </c>
      <c r="D12" s="11" t="s">
        <v>36</v>
      </c>
      <c r="E12" s="11" t="s">
        <v>36</v>
      </c>
      <c r="F12" s="11" t="s">
        <v>36</v>
      </c>
      <c r="G12" s="11" t="s">
        <v>36</v>
      </c>
      <c r="H12" s="9" t="n">
        <f aca="false">COUNTIF(C12:G12,"Y")+COUNTIF(C12:G12,"P")</f>
        <v>5</v>
      </c>
      <c r="I12" s="12"/>
      <c r="J12" s="12"/>
      <c r="K12" s="12"/>
      <c r="L12" s="12"/>
      <c r="M12" s="12"/>
      <c r="N12" s="9" t="str">
        <f aca="false">IF(COUNT(I12:M12)=0,"",COUNTIF(I12:M12,"&gt;="&amp;$F$3))</f>
        <v/>
      </c>
      <c r="O12" s="9" t="str">
        <f aca="false">IF(N12="",IF(H12&gt;=5,"Full presence, depth pending",IF(H12=4,"4 of 5, depth pending","Low overlap")),IF(N12&gt;=4,"Real overlap",IF(N12&gt;=2,"Partial overlap","Low overlap")))</f>
        <v>Full presence, depth pending</v>
      </c>
    </row>
    <row r="13" customFormat="false" ht="15" hidden="false" customHeight="false" outlineLevel="0" collapsed="false">
      <c r="A13" s="9" t="s">
        <v>415</v>
      </c>
      <c r="B13" s="10" t="n">
        <v>3</v>
      </c>
      <c r="C13" s="11" t="s">
        <v>36</v>
      </c>
      <c r="D13" s="11" t="s">
        <v>36</v>
      </c>
      <c r="E13" s="11" t="s">
        <v>36</v>
      </c>
      <c r="F13" s="11" t="s">
        <v>408</v>
      </c>
      <c r="G13" s="11" t="s">
        <v>36</v>
      </c>
      <c r="H13" s="9" t="n">
        <f aca="false">COUNTIF(C13:G13,"Y")+COUNTIF(C13:G13,"P")</f>
        <v>5</v>
      </c>
      <c r="I13" s="12"/>
      <c r="J13" s="12"/>
      <c r="K13" s="12"/>
      <c r="L13" s="12"/>
      <c r="M13" s="12"/>
      <c r="N13" s="9" t="str">
        <f aca="false">IF(COUNT(I13:M13)=0,"",COUNTIF(I13:M13,"&gt;="&amp;$F$3))</f>
        <v/>
      </c>
      <c r="O13" s="9" t="str">
        <f aca="false">IF(N13="",IF(H13&gt;=5,"Full presence, depth pending",IF(H13=4,"4 of 5, depth pending","Low overlap")),IF(N13&gt;=4,"Real overlap",IF(N13&gt;=2,"Partial overlap","Low overlap")))</f>
        <v>Full presence, depth pending</v>
      </c>
    </row>
    <row r="14" customFormat="false" ht="15" hidden="false" customHeight="false" outlineLevel="0" collapsed="false">
      <c r="A14" s="9" t="s">
        <v>416</v>
      </c>
      <c r="B14" s="10" t="n">
        <v>3</v>
      </c>
      <c r="C14" s="11" t="s">
        <v>36</v>
      </c>
      <c r="D14" s="11" t="s">
        <v>36</v>
      </c>
      <c r="E14" s="11" t="s">
        <v>36</v>
      </c>
      <c r="F14" s="11" t="s">
        <v>36</v>
      </c>
      <c r="G14" s="11" t="s">
        <v>36</v>
      </c>
      <c r="H14" s="9" t="n">
        <f aca="false">COUNTIF(C14:G14,"Y")+COUNTIF(C14:G14,"P")</f>
        <v>5</v>
      </c>
      <c r="I14" s="12"/>
      <c r="J14" s="12"/>
      <c r="K14" s="12"/>
      <c r="L14" s="12"/>
      <c r="M14" s="12"/>
      <c r="N14" s="9" t="str">
        <f aca="false">IF(COUNT(I14:M14)=0,"",COUNTIF(I14:M14,"&gt;="&amp;$F$3))</f>
        <v/>
      </c>
      <c r="O14" s="9" t="str">
        <f aca="false">IF(N14="",IF(H14&gt;=5,"Full presence, depth pending",IF(H14=4,"4 of 5, depth pending","Low overlap")),IF(N14&gt;=4,"Real overlap",IF(N14&gt;=2,"Partial overlap","Low overlap")))</f>
        <v>Full presence, depth pending</v>
      </c>
    </row>
    <row r="15" customFormat="false" ht="15" hidden="false" customHeight="false" outlineLevel="0" collapsed="false">
      <c r="A15" s="9" t="s">
        <v>417</v>
      </c>
      <c r="B15" s="10" t="n">
        <v>4</v>
      </c>
      <c r="C15" s="11" t="s">
        <v>36</v>
      </c>
      <c r="D15" s="11" t="s">
        <v>36</v>
      </c>
      <c r="E15" s="11" t="s">
        <v>36</v>
      </c>
      <c r="F15" s="11" t="s">
        <v>75</v>
      </c>
      <c r="G15" s="11" t="s">
        <v>36</v>
      </c>
      <c r="H15" s="9" t="n">
        <f aca="false">COUNTIF(C15:G15,"Y")+COUNTIF(C15:G15,"P")</f>
        <v>4</v>
      </c>
      <c r="I15" s="12"/>
      <c r="J15" s="12"/>
      <c r="K15" s="12"/>
      <c r="L15" s="12"/>
      <c r="M15" s="12"/>
      <c r="N15" s="9" t="str">
        <f aca="false">IF(COUNT(I15:M15)=0,"",COUNTIF(I15:M15,"&gt;="&amp;$F$3))</f>
        <v/>
      </c>
      <c r="O15" s="9" t="str">
        <f aca="false">IF(N15="",IF(H15&gt;=5,"Full presence, depth pending",IF(H15=4,"4 of 5, depth pending","Low overlap")),IF(N15&gt;=4,"Real overlap",IF(N15&gt;=2,"Partial overlap","Low overlap")))</f>
        <v>4 of 5, depth pending</v>
      </c>
    </row>
    <row r="16" customFormat="false" ht="15" hidden="false" customHeight="false" outlineLevel="0" collapsed="false">
      <c r="A16" s="9" t="s">
        <v>418</v>
      </c>
      <c r="B16" s="10" t="n">
        <v>4</v>
      </c>
      <c r="C16" s="11" t="s">
        <v>36</v>
      </c>
      <c r="D16" s="11" t="s">
        <v>36</v>
      </c>
      <c r="E16" s="11" t="s">
        <v>36</v>
      </c>
      <c r="F16" s="11" t="s">
        <v>75</v>
      </c>
      <c r="G16" s="11" t="s">
        <v>36</v>
      </c>
      <c r="H16" s="9" t="n">
        <f aca="false">COUNTIF(C16:G16,"Y")+COUNTIF(C16:G16,"P")</f>
        <v>4</v>
      </c>
      <c r="I16" s="12"/>
      <c r="J16" s="12"/>
      <c r="K16" s="12"/>
      <c r="L16" s="12"/>
      <c r="M16" s="12"/>
      <c r="N16" s="9" t="str">
        <f aca="false">IF(COUNT(I16:M16)=0,"",COUNTIF(I16:M16,"&gt;="&amp;$F$3))</f>
        <v/>
      </c>
      <c r="O16" s="9" t="str">
        <f aca="false">IF(N16="",IF(H16&gt;=5,"Full presence, depth pending",IF(H16=4,"4 of 5, depth pending","Low overlap")),IF(N16&gt;=4,"Real overlap",IF(N16&gt;=2,"Partial overlap","Low overlap")))</f>
        <v>4 of 5, depth pending</v>
      </c>
    </row>
    <row r="17" customFormat="false" ht="15" hidden="false" customHeight="false" outlineLevel="0" collapsed="false">
      <c r="A17" s="9" t="s">
        <v>419</v>
      </c>
      <c r="B17" s="10" t="n">
        <v>4</v>
      </c>
      <c r="C17" s="11" t="s">
        <v>36</v>
      </c>
      <c r="D17" s="11" t="s">
        <v>36</v>
      </c>
      <c r="E17" s="11" t="s">
        <v>36</v>
      </c>
      <c r="F17" s="11" t="s">
        <v>75</v>
      </c>
      <c r="G17" s="11" t="s">
        <v>36</v>
      </c>
      <c r="H17" s="9" t="n">
        <f aca="false">COUNTIF(C17:G17,"Y")+COUNTIF(C17:G17,"P")</f>
        <v>4</v>
      </c>
      <c r="I17" s="12"/>
      <c r="J17" s="12"/>
      <c r="K17" s="12"/>
      <c r="L17" s="12"/>
      <c r="M17" s="12"/>
      <c r="N17" s="9" t="str">
        <f aca="false">IF(COUNT(I17:M17)=0,"",COUNTIF(I17:M17,"&gt;="&amp;$F$3))</f>
        <v/>
      </c>
      <c r="O17" s="9" t="str">
        <f aca="false">IF(N17="",IF(H17&gt;=5,"Full presence, depth pending",IF(H17=4,"4 of 5, depth pending","Low overlap")),IF(N17&gt;=4,"Real overlap",IF(N17&gt;=2,"Partial overlap","Low overlap")))</f>
        <v>4 of 5, depth pending</v>
      </c>
    </row>
    <row r="18" customFormat="false" ht="15" hidden="false" customHeight="false" outlineLevel="0" collapsed="false">
      <c r="A18" s="9" t="s">
        <v>420</v>
      </c>
      <c r="B18" s="10" t="n">
        <v>4</v>
      </c>
      <c r="C18" s="11" t="s">
        <v>36</v>
      </c>
      <c r="D18" s="11" t="s">
        <v>36</v>
      </c>
      <c r="E18" s="11" t="s">
        <v>36</v>
      </c>
      <c r="F18" s="11" t="s">
        <v>75</v>
      </c>
      <c r="G18" s="11" t="s">
        <v>36</v>
      </c>
      <c r="H18" s="9" t="n">
        <f aca="false">COUNTIF(C18:G18,"Y")+COUNTIF(C18:G18,"P")</f>
        <v>4</v>
      </c>
      <c r="I18" s="12"/>
      <c r="J18" s="12"/>
      <c r="K18" s="12"/>
      <c r="L18" s="12"/>
      <c r="M18" s="12"/>
      <c r="N18" s="9" t="str">
        <f aca="false">IF(COUNT(I18:M18)=0,"",COUNTIF(I18:M18,"&gt;="&amp;$F$3))</f>
        <v/>
      </c>
      <c r="O18" s="9" t="str">
        <f aca="false">IF(N18="",IF(H18&gt;=5,"Full presence, depth pending",IF(H18=4,"4 of 5, depth pending","Low overlap")),IF(N18&gt;=4,"Real overlap",IF(N18&gt;=2,"Partial overlap","Low overlap")))</f>
        <v>4 of 5, depth pending</v>
      </c>
    </row>
    <row r="19" customFormat="false" ht="15" hidden="false" customHeight="false" outlineLevel="0" collapsed="false">
      <c r="A19" s="9" t="s">
        <v>421</v>
      </c>
      <c r="B19" s="10" t="n">
        <v>4</v>
      </c>
      <c r="C19" s="11" t="s">
        <v>36</v>
      </c>
      <c r="D19" s="11" t="s">
        <v>36</v>
      </c>
      <c r="E19" s="11" t="s">
        <v>36</v>
      </c>
      <c r="F19" s="11" t="s">
        <v>75</v>
      </c>
      <c r="G19" s="11" t="s">
        <v>36</v>
      </c>
      <c r="H19" s="9" t="n">
        <f aca="false">COUNTIF(C19:G19,"Y")+COUNTIF(C19:G19,"P")</f>
        <v>4</v>
      </c>
      <c r="I19" s="12"/>
      <c r="J19" s="12"/>
      <c r="K19" s="12"/>
      <c r="L19" s="12"/>
      <c r="M19" s="12"/>
      <c r="N19" s="9" t="str">
        <f aca="false">IF(COUNT(I19:M19)=0,"",COUNTIF(I19:M19,"&gt;="&amp;$F$3))</f>
        <v/>
      </c>
      <c r="O19" s="9" t="str">
        <f aca="false">IF(N19="",IF(H19&gt;=5,"Full presence, depth pending",IF(H19=4,"4 of 5, depth pending","Low overlap")),IF(N19&gt;=4,"Real overlap",IF(N19&gt;=2,"Partial overlap","Low overlap")))</f>
        <v>4 of 5, depth pending</v>
      </c>
    </row>
    <row r="20" customFormat="false" ht="15" hidden="false" customHeight="false" outlineLevel="0" collapsed="false">
      <c r="A20" s="9" t="s">
        <v>422</v>
      </c>
      <c r="B20" s="10" t="n">
        <v>5</v>
      </c>
      <c r="C20" s="11" t="s">
        <v>36</v>
      </c>
      <c r="D20" s="11" t="s">
        <v>36</v>
      </c>
      <c r="E20" s="11" t="s">
        <v>75</v>
      </c>
      <c r="F20" s="11" t="s">
        <v>408</v>
      </c>
      <c r="G20" s="11" t="s">
        <v>75</v>
      </c>
      <c r="H20" s="9" t="n">
        <f aca="false">COUNTIF(C20:G20,"Y")+COUNTIF(C20:G20,"P")</f>
        <v>3</v>
      </c>
      <c r="I20" s="12"/>
      <c r="J20" s="12"/>
      <c r="K20" s="12"/>
      <c r="L20" s="12"/>
      <c r="M20" s="12"/>
      <c r="N20" s="9" t="str">
        <f aca="false">IF(COUNT(I20:M20)=0,"",COUNTIF(I20:M20,"&gt;="&amp;$F$3))</f>
        <v/>
      </c>
      <c r="O20" s="9" t="str">
        <f aca="false">IF(N20="",IF(H20&gt;=5,"Full presence, depth pending",IF(H20=4,"4 of 5, depth pending","Low overlap")),IF(N20&gt;=4,"Real overlap",IF(N20&gt;=2,"Partial overlap","Low overlap")))</f>
        <v>Low overlap</v>
      </c>
    </row>
    <row r="21" customFormat="false" ht="15" hidden="false" customHeight="false" outlineLevel="0" collapsed="false">
      <c r="A21" s="9" t="s">
        <v>423</v>
      </c>
      <c r="B21" s="10" t="n">
        <v>5</v>
      </c>
      <c r="C21" s="11" t="s">
        <v>36</v>
      </c>
      <c r="D21" s="11" t="s">
        <v>36</v>
      </c>
      <c r="E21" s="11" t="s">
        <v>36</v>
      </c>
      <c r="F21" s="11" t="s">
        <v>75</v>
      </c>
      <c r="G21" s="11" t="s">
        <v>75</v>
      </c>
      <c r="H21" s="9" t="n">
        <f aca="false">COUNTIF(C21:G21,"Y")+COUNTIF(C21:G21,"P")</f>
        <v>3</v>
      </c>
      <c r="I21" s="12"/>
      <c r="J21" s="12"/>
      <c r="K21" s="12"/>
      <c r="L21" s="12"/>
      <c r="M21" s="12"/>
      <c r="N21" s="9" t="str">
        <f aca="false">IF(COUNT(I21:M21)=0,"",COUNTIF(I21:M21,"&gt;="&amp;$F$3))</f>
        <v/>
      </c>
      <c r="O21" s="9" t="str">
        <f aca="false">IF(N21="",IF(H21&gt;=5,"Full presence, depth pending",IF(H21=4,"4 of 5, depth pending","Low overlap")),IF(N21&gt;=4,"Real overlap",IF(N21&gt;=2,"Partial overlap","Low overlap")))</f>
        <v>Low overlap</v>
      </c>
    </row>
    <row r="22" customFormat="false" ht="15" hidden="false" customHeight="false" outlineLevel="0" collapsed="false">
      <c r="A22" s="9" t="s">
        <v>424</v>
      </c>
      <c r="B22" s="10" t="n">
        <v>5</v>
      </c>
      <c r="C22" s="11" t="s">
        <v>36</v>
      </c>
      <c r="D22" s="11" t="s">
        <v>36</v>
      </c>
      <c r="E22" s="11" t="s">
        <v>36</v>
      </c>
      <c r="F22" s="11" t="s">
        <v>75</v>
      </c>
      <c r="G22" s="11" t="s">
        <v>75</v>
      </c>
      <c r="H22" s="9" t="n">
        <f aca="false">COUNTIF(C22:G22,"Y")+COUNTIF(C22:G22,"P")</f>
        <v>3</v>
      </c>
      <c r="I22" s="12"/>
      <c r="J22" s="12"/>
      <c r="K22" s="12"/>
      <c r="L22" s="12"/>
      <c r="M22" s="12"/>
      <c r="N22" s="9" t="str">
        <f aca="false">IF(COUNT(I22:M22)=0,"",COUNTIF(I22:M22,"&gt;="&amp;$F$3))</f>
        <v/>
      </c>
      <c r="O22" s="9" t="str">
        <f aca="false">IF(N22="",IF(H22&gt;=5,"Full presence, depth pending",IF(H22=4,"4 of 5, depth pending","Low overlap")),IF(N22&gt;=4,"Real overlap",IF(N22&gt;=2,"Partial overlap","Low overlap")))</f>
        <v>Low overlap</v>
      </c>
    </row>
    <row r="24" customFormat="false" ht="15" hidden="false" customHeight="false" outlineLevel="0" collapsed="false">
      <c r="A24" s="6" t="s">
        <v>425</v>
      </c>
    </row>
  </sheetData>
  <conditionalFormatting sqref="C6:G22">
    <cfRule type="cellIs" priority="2" operator="equal" aboveAverage="0" equalAverage="0" bottom="0" percent="0" rank="0" text="" dxfId="0">
      <formula>"N"</formula>
    </cfRule>
    <cfRule type="cellIs" priority="3" operator="equal" aboveAverage="0" equalAverage="0" bottom="0" percent="0" rank="0" text="" dxfId="1">
      <formula>"P"</formula>
    </cfRule>
  </conditionalFormatting>
  <dataValidations count="1">
    <dataValidation allowBlank="true" errorStyle="stop" operator="between" showDropDown="false" showErrorMessage="false" showInputMessage="false" sqref="C6:G22" type="list">
      <formula1>"Y,P,N"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4A30"/>
    <pageSetUpPr fitToPage="false"/>
  </sheetPr>
  <dimension ref="A1:L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0"/>
    <col collapsed="false" customWidth="true" hidden="false" outlineLevel="0" max="5" min="4" style="0" width="30"/>
    <col collapsed="false" customWidth="true" hidden="false" outlineLevel="0" max="6" min="6" style="0" width="16"/>
    <col collapsed="false" customWidth="true" hidden="false" outlineLevel="0" max="7" min="7" style="0" width="10"/>
    <col collapsed="false" customWidth="true" hidden="false" outlineLevel="0" max="8" min="8" style="0" width="18"/>
    <col collapsed="false" customWidth="true" hidden="false" outlineLevel="0" max="9" min="9" style="0" width="20"/>
    <col collapsed="false" customWidth="true" hidden="false" outlineLevel="0" max="10" min="10" style="0" width="22"/>
    <col collapsed="false" customWidth="true" hidden="false" outlineLevel="0" max="11" min="11" style="0" width="26"/>
    <col collapsed="false" customWidth="true" hidden="false" outlineLevel="0" max="12" min="12" style="0" width="34"/>
  </cols>
  <sheetData>
    <row r="1" customFormat="false" ht="23.85" hidden="false" customHeight="false" outlineLevel="0" collapsed="false">
      <c r="A1" s="5" t="s">
        <v>426</v>
      </c>
      <c r="B1" s="5" t="s">
        <v>427</v>
      </c>
      <c r="C1" s="5" t="s">
        <v>428</v>
      </c>
      <c r="D1" s="5" t="s">
        <v>429</v>
      </c>
      <c r="E1" s="5" t="s">
        <v>430</v>
      </c>
      <c r="F1" s="5" t="s">
        <v>431</v>
      </c>
      <c r="G1" s="5" t="s">
        <v>432</v>
      </c>
      <c r="H1" s="5" t="s">
        <v>433</v>
      </c>
      <c r="I1" s="5" t="s">
        <v>434</v>
      </c>
      <c r="J1" s="5" t="s">
        <v>435</v>
      </c>
      <c r="K1" s="5" t="s">
        <v>436</v>
      </c>
      <c r="L1" s="5" t="s">
        <v>437</v>
      </c>
    </row>
    <row r="2" customFormat="false" ht="23.85" hidden="false" customHeight="false" outlineLevel="0" collapsed="false">
      <c r="A2" s="4" t="s">
        <v>396</v>
      </c>
      <c r="B2" s="4" t="s">
        <v>438</v>
      </c>
      <c r="C2" s="4" t="s">
        <v>439</v>
      </c>
      <c r="D2" s="4" t="s">
        <v>440</v>
      </c>
      <c r="E2" s="4"/>
      <c r="F2" s="4"/>
      <c r="G2" s="13"/>
      <c r="H2" s="4"/>
      <c r="I2" s="4"/>
      <c r="J2" s="4"/>
      <c r="K2" s="4" t="s">
        <v>441</v>
      </c>
      <c r="L2" s="4" t="s">
        <v>442</v>
      </c>
    </row>
    <row r="3" customFormat="false" ht="23.85" hidden="false" customHeight="false" outlineLevel="0" collapsed="false">
      <c r="A3" s="4" t="s">
        <v>396</v>
      </c>
      <c r="B3" s="4" t="s">
        <v>443</v>
      </c>
      <c r="C3" s="4" t="s">
        <v>439</v>
      </c>
      <c r="D3" s="4" t="s">
        <v>444</v>
      </c>
      <c r="E3" s="4"/>
      <c r="F3" s="4"/>
      <c r="G3" s="13"/>
      <c r="H3" s="4"/>
      <c r="I3" s="4"/>
      <c r="J3" s="4"/>
      <c r="K3" s="4" t="s">
        <v>441</v>
      </c>
      <c r="L3" s="4" t="s">
        <v>442</v>
      </c>
    </row>
    <row r="4" customFormat="false" ht="23.85" hidden="false" customHeight="false" outlineLevel="0" collapsed="false">
      <c r="A4" s="4" t="s">
        <v>396</v>
      </c>
      <c r="B4" s="4" t="s">
        <v>445</v>
      </c>
      <c r="C4" s="4" t="s">
        <v>439</v>
      </c>
      <c r="D4" s="4" t="s">
        <v>446</v>
      </c>
      <c r="E4" s="4"/>
      <c r="F4" s="4"/>
      <c r="G4" s="13"/>
      <c r="H4" s="4" t="s">
        <v>447</v>
      </c>
      <c r="I4" s="4"/>
      <c r="J4" s="4"/>
      <c r="K4" s="4" t="s">
        <v>441</v>
      </c>
      <c r="L4" s="4" t="s">
        <v>442</v>
      </c>
    </row>
    <row r="5" customFormat="false" ht="23.85" hidden="false" customHeight="false" outlineLevel="0" collapsed="false">
      <c r="A5" s="4" t="s">
        <v>396</v>
      </c>
      <c r="B5" s="4" t="s">
        <v>448</v>
      </c>
      <c r="C5" s="4" t="s">
        <v>439</v>
      </c>
      <c r="D5" s="4" t="s">
        <v>449</v>
      </c>
      <c r="E5" s="4"/>
      <c r="F5" s="4"/>
      <c r="G5" s="13"/>
      <c r="H5" s="4"/>
      <c r="I5" s="4"/>
      <c r="J5" s="4"/>
      <c r="K5" s="4" t="s">
        <v>441</v>
      </c>
      <c r="L5" s="4" t="s">
        <v>442</v>
      </c>
    </row>
    <row r="6" customFormat="false" ht="23.85" hidden="false" customHeight="false" outlineLevel="0" collapsed="false">
      <c r="A6" s="4" t="s">
        <v>396</v>
      </c>
      <c r="B6" s="4" t="s">
        <v>450</v>
      </c>
      <c r="C6" s="4" t="s">
        <v>451</v>
      </c>
      <c r="D6" s="4" t="s">
        <v>452</v>
      </c>
      <c r="E6" s="4"/>
      <c r="F6" s="4"/>
      <c r="G6" s="13"/>
      <c r="H6" s="4"/>
      <c r="I6" s="4"/>
      <c r="J6" s="4"/>
      <c r="K6" s="4" t="s">
        <v>453</v>
      </c>
      <c r="L6" s="4" t="s">
        <v>454</v>
      </c>
    </row>
    <row r="7" customFormat="false" ht="15" hidden="false" customHeight="false" outlineLevel="0" collapsed="false">
      <c r="A7" s="4" t="s">
        <v>396</v>
      </c>
      <c r="B7" s="4" t="s">
        <v>455</v>
      </c>
      <c r="C7" s="4" t="s">
        <v>451</v>
      </c>
      <c r="D7" s="4" t="s">
        <v>456</v>
      </c>
      <c r="E7" s="4"/>
      <c r="F7" s="4"/>
      <c r="G7" s="13"/>
      <c r="H7" s="4"/>
      <c r="I7" s="4"/>
      <c r="J7" s="4"/>
      <c r="K7" s="4" t="s">
        <v>457</v>
      </c>
      <c r="L7" s="4" t="s">
        <v>458</v>
      </c>
    </row>
    <row r="8" customFormat="false" ht="15" hidden="false" customHeight="false" outlineLevel="0" collapsed="false">
      <c r="A8" s="4" t="s">
        <v>396</v>
      </c>
      <c r="B8" s="4" t="s">
        <v>459</v>
      </c>
      <c r="C8" s="4" t="s">
        <v>451</v>
      </c>
      <c r="D8" s="4" t="s">
        <v>460</v>
      </c>
      <c r="E8" s="4"/>
      <c r="F8" s="4"/>
      <c r="G8" s="13"/>
      <c r="H8" s="4"/>
      <c r="I8" s="4"/>
      <c r="J8" s="4"/>
      <c r="K8" s="4" t="s">
        <v>461</v>
      </c>
      <c r="L8" s="4" t="s">
        <v>442</v>
      </c>
    </row>
    <row r="9" customFormat="false" ht="15" hidden="false" customHeight="false" outlineLevel="0" collapsed="false">
      <c r="A9" s="4" t="s">
        <v>396</v>
      </c>
      <c r="B9" s="4" t="s">
        <v>462</v>
      </c>
      <c r="C9" s="4" t="s">
        <v>451</v>
      </c>
      <c r="D9" s="4" t="s">
        <v>463</v>
      </c>
      <c r="E9" s="4"/>
      <c r="F9" s="4"/>
      <c r="G9" s="13"/>
      <c r="H9" s="4"/>
      <c r="I9" s="4"/>
      <c r="J9" s="4"/>
      <c r="K9" s="4" t="s">
        <v>464</v>
      </c>
      <c r="L9" s="4" t="s">
        <v>454</v>
      </c>
    </row>
    <row r="10" customFormat="false" ht="23.85" hidden="false" customHeight="false" outlineLevel="0" collapsed="false">
      <c r="A10" s="4" t="s">
        <v>395</v>
      </c>
      <c r="B10" s="4" t="s">
        <v>465</v>
      </c>
      <c r="C10" s="4" t="s">
        <v>439</v>
      </c>
      <c r="D10" s="4" t="s">
        <v>466</v>
      </c>
      <c r="E10" s="4"/>
      <c r="F10" s="4"/>
      <c r="G10" s="13"/>
      <c r="H10" s="4"/>
      <c r="I10" s="4"/>
      <c r="J10" s="4"/>
      <c r="K10" s="4" t="s">
        <v>441</v>
      </c>
      <c r="L10" s="4" t="s">
        <v>467</v>
      </c>
    </row>
    <row r="11" customFormat="false" ht="23.85" hidden="false" customHeight="false" outlineLevel="0" collapsed="false">
      <c r="A11" s="4" t="s">
        <v>395</v>
      </c>
      <c r="B11" s="4" t="s">
        <v>468</v>
      </c>
      <c r="C11" s="4" t="s">
        <v>439</v>
      </c>
      <c r="D11" s="4" t="s">
        <v>466</v>
      </c>
      <c r="E11" s="4"/>
      <c r="F11" s="4"/>
      <c r="G11" s="13"/>
      <c r="H11" s="4"/>
      <c r="I11" s="4"/>
      <c r="J11" s="4"/>
      <c r="K11" s="4" t="s">
        <v>441</v>
      </c>
      <c r="L11" s="4" t="s">
        <v>467</v>
      </c>
    </row>
    <row r="12" customFormat="false" ht="23.85" hidden="false" customHeight="false" outlineLevel="0" collapsed="false">
      <c r="A12" s="4" t="s">
        <v>395</v>
      </c>
      <c r="B12" s="4" t="s">
        <v>469</v>
      </c>
      <c r="C12" s="4" t="s">
        <v>439</v>
      </c>
      <c r="D12" s="4" t="s">
        <v>466</v>
      </c>
      <c r="E12" s="4"/>
      <c r="F12" s="4"/>
      <c r="G12" s="13"/>
      <c r="H12" s="4"/>
      <c r="I12" s="4"/>
      <c r="J12" s="4"/>
      <c r="K12" s="4" t="s">
        <v>441</v>
      </c>
      <c r="L12" s="4" t="s">
        <v>467</v>
      </c>
    </row>
    <row r="13" customFormat="false" ht="15" hidden="false" customHeight="false" outlineLevel="0" collapsed="false">
      <c r="A13" s="4" t="s">
        <v>395</v>
      </c>
      <c r="B13" s="4" t="s">
        <v>470</v>
      </c>
      <c r="C13" s="4" t="s">
        <v>451</v>
      </c>
      <c r="D13" s="4" t="s">
        <v>471</v>
      </c>
      <c r="E13" s="4"/>
      <c r="F13" s="4"/>
      <c r="G13" s="13"/>
      <c r="H13" s="4"/>
      <c r="I13" s="4"/>
      <c r="J13" s="4"/>
      <c r="K13" s="4" t="s">
        <v>472</v>
      </c>
      <c r="L13" s="4" t="s">
        <v>473</v>
      </c>
    </row>
    <row r="14" customFormat="false" ht="23.85" hidden="false" customHeight="false" outlineLevel="0" collapsed="false">
      <c r="A14" s="4" t="s">
        <v>43</v>
      </c>
      <c r="B14" s="4" t="s">
        <v>474</v>
      </c>
      <c r="C14" s="4" t="s">
        <v>439</v>
      </c>
      <c r="D14" s="4" t="s">
        <v>475</v>
      </c>
      <c r="E14" s="4" t="s">
        <v>476</v>
      </c>
      <c r="F14" s="4" t="s">
        <v>201</v>
      </c>
      <c r="G14" s="13" t="n">
        <v>0.26</v>
      </c>
      <c r="H14" s="4" t="s">
        <v>477</v>
      </c>
      <c r="I14" s="4" t="s">
        <v>478</v>
      </c>
      <c r="J14" s="4" t="s">
        <v>215</v>
      </c>
      <c r="K14" s="14" t="s">
        <v>479</v>
      </c>
      <c r="L14" s="4" t="s">
        <v>480</v>
      </c>
    </row>
    <row r="15" customFormat="false" ht="23.85" hidden="false" customHeight="false" outlineLevel="0" collapsed="false">
      <c r="A15" s="4" t="s">
        <v>43</v>
      </c>
      <c r="B15" s="4" t="s">
        <v>481</v>
      </c>
      <c r="C15" s="4" t="s">
        <v>439</v>
      </c>
      <c r="D15" s="4" t="s">
        <v>482</v>
      </c>
      <c r="E15" s="4"/>
      <c r="F15" s="4"/>
      <c r="G15" s="13"/>
      <c r="H15" s="4" t="s">
        <v>477</v>
      </c>
      <c r="I15" s="4"/>
      <c r="J15" s="4"/>
      <c r="K15" s="4" t="s">
        <v>441</v>
      </c>
      <c r="L15" s="4" t="s">
        <v>483</v>
      </c>
    </row>
    <row r="16" customFormat="false" ht="23.85" hidden="false" customHeight="false" outlineLevel="0" collapsed="false">
      <c r="A16" s="4" t="s">
        <v>43</v>
      </c>
      <c r="B16" s="4" t="s">
        <v>484</v>
      </c>
      <c r="C16" s="4" t="s">
        <v>439</v>
      </c>
      <c r="D16" s="4" t="s">
        <v>485</v>
      </c>
      <c r="E16" s="4"/>
      <c r="F16" s="4"/>
      <c r="G16" s="13"/>
      <c r="H16" s="4" t="s">
        <v>477</v>
      </c>
      <c r="I16" s="4"/>
      <c r="J16" s="4"/>
      <c r="K16" s="4" t="s">
        <v>441</v>
      </c>
      <c r="L16" s="4" t="s">
        <v>483</v>
      </c>
    </row>
    <row r="17" customFormat="false" ht="15" hidden="false" customHeight="false" outlineLevel="0" collapsed="false">
      <c r="A17" s="4" t="s">
        <v>43</v>
      </c>
      <c r="B17" s="4" t="s">
        <v>486</v>
      </c>
      <c r="C17" s="4" t="s">
        <v>487</v>
      </c>
      <c r="D17" s="4" t="s">
        <v>488</v>
      </c>
      <c r="E17" s="4"/>
      <c r="F17" s="4"/>
      <c r="G17" s="13"/>
      <c r="H17" s="4"/>
      <c r="I17" s="4"/>
      <c r="J17" s="4"/>
      <c r="K17" s="4" t="s">
        <v>489</v>
      </c>
      <c r="L17" s="4" t="s">
        <v>490</v>
      </c>
    </row>
    <row r="18" customFormat="false" ht="15" hidden="false" customHeight="false" outlineLevel="0" collapsed="false">
      <c r="A18" s="4" t="s">
        <v>43</v>
      </c>
      <c r="B18" s="4" t="s">
        <v>491</v>
      </c>
      <c r="C18" s="4" t="s">
        <v>487</v>
      </c>
      <c r="D18" s="4" t="s">
        <v>492</v>
      </c>
      <c r="E18" s="4"/>
      <c r="F18" s="4"/>
      <c r="G18" s="13"/>
      <c r="H18" s="4"/>
      <c r="I18" s="4"/>
      <c r="J18" s="4"/>
      <c r="K18" s="4" t="s">
        <v>489</v>
      </c>
      <c r="L18" s="4" t="s">
        <v>490</v>
      </c>
    </row>
    <row r="19" customFormat="false" ht="15" hidden="false" customHeight="false" outlineLevel="0" collapsed="false">
      <c r="A19" s="4" t="s">
        <v>43</v>
      </c>
      <c r="B19" s="4" t="s">
        <v>493</v>
      </c>
      <c r="C19" s="4" t="s">
        <v>487</v>
      </c>
      <c r="D19" s="4" t="s">
        <v>494</v>
      </c>
      <c r="E19" s="4"/>
      <c r="F19" s="4"/>
      <c r="G19" s="13"/>
      <c r="H19" s="4"/>
      <c r="I19" s="4"/>
      <c r="J19" s="4"/>
      <c r="K19" s="4" t="s">
        <v>489</v>
      </c>
      <c r="L19" s="4" t="s">
        <v>490</v>
      </c>
    </row>
    <row r="20" customFormat="false" ht="23.85" hidden="false" customHeight="false" outlineLevel="0" collapsed="false">
      <c r="A20" s="4" t="s">
        <v>43</v>
      </c>
      <c r="B20" s="4" t="s">
        <v>495</v>
      </c>
      <c r="C20" s="4" t="s">
        <v>439</v>
      </c>
      <c r="D20" s="4" t="s">
        <v>494</v>
      </c>
      <c r="E20" s="4"/>
      <c r="F20" s="4"/>
      <c r="G20" s="13"/>
      <c r="H20" s="4"/>
      <c r="I20" s="4"/>
      <c r="J20" s="4"/>
      <c r="K20" s="4" t="s">
        <v>441</v>
      </c>
      <c r="L20" s="4" t="s">
        <v>490</v>
      </c>
    </row>
    <row r="21" customFormat="false" ht="15" hidden="false" customHeight="false" outlineLevel="0" collapsed="false">
      <c r="A21" s="4" t="s">
        <v>43</v>
      </c>
      <c r="B21" s="4" t="s">
        <v>496</v>
      </c>
      <c r="C21" s="4" t="s">
        <v>451</v>
      </c>
      <c r="D21" s="4" t="s">
        <v>497</v>
      </c>
      <c r="E21" s="4"/>
      <c r="F21" s="4"/>
      <c r="G21" s="13"/>
      <c r="H21" s="4"/>
      <c r="I21" s="4"/>
      <c r="J21" s="4"/>
      <c r="K21" s="4" t="s">
        <v>472</v>
      </c>
      <c r="L21" s="4" t="s">
        <v>490</v>
      </c>
    </row>
    <row r="22" customFormat="false" ht="23.85" hidden="false" customHeight="false" outlineLevel="0" collapsed="false">
      <c r="A22" s="4" t="s">
        <v>398</v>
      </c>
      <c r="B22" s="4" t="s">
        <v>498</v>
      </c>
      <c r="C22" s="4" t="s">
        <v>439</v>
      </c>
      <c r="D22" s="4" t="s">
        <v>499</v>
      </c>
      <c r="E22" s="4"/>
      <c r="F22" s="4"/>
      <c r="G22" s="13"/>
      <c r="H22" s="4" t="s">
        <v>477</v>
      </c>
      <c r="I22" s="4"/>
      <c r="J22" s="4"/>
      <c r="K22" s="4" t="s">
        <v>441</v>
      </c>
      <c r="L22" s="4" t="s">
        <v>500</v>
      </c>
    </row>
    <row r="23" customFormat="false" ht="23.85" hidden="false" customHeight="false" outlineLevel="0" collapsed="false">
      <c r="A23" s="4" t="s">
        <v>398</v>
      </c>
      <c r="B23" s="4" t="s">
        <v>501</v>
      </c>
      <c r="C23" s="4" t="s">
        <v>439</v>
      </c>
      <c r="D23" s="4" t="s">
        <v>502</v>
      </c>
      <c r="E23" s="4"/>
      <c r="F23" s="4"/>
      <c r="G23" s="13"/>
      <c r="H23" s="4"/>
      <c r="I23" s="4"/>
      <c r="J23" s="4"/>
      <c r="K23" s="4" t="s">
        <v>441</v>
      </c>
      <c r="L23" s="4" t="s">
        <v>500</v>
      </c>
    </row>
    <row r="24" customFormat="false" ht="15" hidden="false" customHeight="false" outlineLevel="0" collapsed="false">
      <c r="A24" s="4" t="s">
        <v>398</v>
      </c>
      <c r="B24" s="4" t="s">
        <v>503</v>
      </c>
      <c r="C24" s="4" t="s">
        <v>451</v>
      </c>
      <c r="D24" s="4" t="s">
        <v>504</v>
      </c>
      <c r="E24" s="4"/>
      <c r="F24" s="4"/>
      <c r="G24" s="13"/>
      <c r="H24" s="4"/>
      <c r="I24" s="4"/>
      <c r="J24" s="4"/>
      <c r="K24" s="4" t="s">
        <v>489</v>
      </c>
      <c r="L24" s="4" t="s">
        <v>500</v>
      </c>
    </row>
    <row r="25" customFormat="false" ht="15" hidden="false" customHeight="false" outlineLevel="0" collapsed="false">
      <c r="A25" s="4" t="s">
        <v>397</v>
      </c>
      <c r="B25" s="4" t="s">
        <v>505</v>
      </c>
      <c r="C25" s="4"/>
      <c r="D25" s="4" t="s">
        <v>506</v>
      </c>
      <c r="E25" s="4"/>
      <c r="F25" s="4"/>
      <c r="G25" s="13"/>
      <c r="H25" s="4"/>
      <c r="I25" s="4"/>
      <c r="J25" s="4"/>
      <c r="K25" s="4" t="s">
        <v>507</v>
      </c>
      <c r="L25" s="4" t="s">
        <v>508</v>
      </c>
    </row>
    <row r="27" customFormat="false" ht="15" hidden="false" customHeight="false" outlineLevel="0" collapsed="false">
      <c r="A27" s="6"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4A30"/>
    <pageSetUpPr fitToPage="false"/>
  </sheetPr>
  <dimension ref="A1:AY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35" min="4" style="0" width="14"/>
    <col collapsed="false" customWidth="true" hidden="false" outlineLevel="0" max="36" min="36" style="0" width="40"/>
    <col collapsed="false" customWidth="true" hidden="false" outlineLevel="0" max="51" min="37" style="0" width="14"/>
  </cols>
  <sheetData>
    <row r="1" customFormat="false" ht="30" hidden="false" customHeight="true" outlineLevel="0" collapsed="false">
      <c r="A1" s="5" t="s">
        <v>30</v>
      </c>
      <c r="B1" s="5" t="s">
        <v>38</v>
      </c>
      <c r="C1" s="5" t="s">
        <v>44</v>
      </c>
      <c r="D1" s="5" t="s">
        <v>49</v>
      </c>
      <c r="E1" s="5" t="s">
        <v>54</v>
      </c>
      <c r="F1" s="5" t="s">
        <v>58</v>
      </c>
      <c r="G1" s="5" t="s">
        <v>62</v>
      </c>
      <c r="H1" s="5" t="s">
        <v>66</v>
      </c>
      <c r="I1" s="5" t="s">
        <v>70</v>
      </c>
      <c r="J1" s="5" t="s">
        <v>77</v>
      </c>
      <c r="K1" s="5" t="s">
        <v>82</v>
      </c>
      <c r="L1" s="5" t="s">
        <v>86</v>
      </c>
      <c r="M1" s="5" t="s">
        <v>91</v>
      </c>
      <c r="N1" s="5" t="s">
        <v>95</v>
      </c>
      <c r="O1" s="5" t="s">
        <v>98</v>
      </c>
      <c r="P1" s="5" t="s">
        <v>104</v>
      </c>
      <c r="Q1" s="5" t="s">
        <v>108</v>
      </c>
      <c r="R1" s="5" t="s">
        <v>114</v>
      </c>
      <c r="S1" s="5" t="s">
        <v>117</v>
      </c>
      <c r="T1" s="5" t="s">
        <v>124</v>
      </c>
      <c r="U1" s="5" t="s">
        <v>129</v>
      </c>
      <c r="V1" s="5" t="s">
        <v>132</v>
      </c>
      <c r="W1" s="5" t="s">
        <v>135</v>
      </c>
      <c r="X1" s="5" t="s">
        <v>140</v>
      </c>
      <c r="Y1" s="5" t="s">
        <v>144</v>
      </c>
      <c r="Z1" s="5" t="s">
        <v>149</v>
      </c>
      <c r="AA1" s="5" t="s">
        <v>151</v>
      </c>
      <c r="AB1" s="5" t="s">
        <v>153</v>
      </c>
      <c r="AC1" s="5" t="s">
        <v>159</v>
      </c>
      <c r="AD1" s="5" t="s">
        <v>164</v>
      </c>
      <c r="AE1" s="5" t="s">
        <v>169</v>
      </c>
      <c r="AF1" s="5" t="s">
        <v>173</v>
      </c>
      <c r="AG1" s="5" t="s">
        <v>179</v>
      </c>
      <c r="AH1" s="5" t="s">
        <v>183</v>
      </c>
      <c r="AI1" s="5" t="s">
        <v>187</v>
      </c>
      <c r="AJ1" s="5" t="s">
        <v>193</v>
      </c>
      <c r="AK1" s="5" t="s">
        <v>197</v>
      </c>
      <c r="AL1" s="5" t="s">
        <v>202</v>
      </c>
      <c r="AM1" s="5" t="s">
        <v>205</v>
      </c>
      <c r="AN1" s="5" t="s">
        <v>208</v>
      </c>
      <c r="AO1" s="5" t="s">
        <v>211</v>
      </c>
      <c r="AP1" s="5" t="s">
        <v>216</v>
      </c>
      <c r="AQ1" s="5" t="s">
        <v>222</v>
      </c>
      <c r="AR1" s="5" t="s">
        <v>227</v>
      </c>
      <c r="AS1" s="5" t="s">
        <v>230</v>
      </c>
      <c r="AT1" s="5" t="s">
        <v>236</v>
      </c>
      <c r="AU1" s="5" t="s">
        <v>239</v>
      </c>
      <c r="AV1" s="5" t="s">
        <v>242</v>
      </c>
      <c r="AW1" s="5" t="s">
        <v>246</v>
      </c>
      <c r="AX1" s="5" t="s">
        <v>250</v>
      </c>
      <c r="AY1" s="5" t="s">
        <v>256</v>
      </c>
    </row>
    <row r="2" customFormat="false" ht="30" hidden="false" customHeight="true" outlineLevel="0" collapsed="false">
      <c r="A2" s="10" t="s">
        <v>37</v>
      </c>
      <c r="B2" s="10" t="s">
        <v>43</v>
      </c>
      <c r="C2" s="10" t="s">
        <v>48</v>
      </c>
      <c r="D2" s="10" t="s">
        <v>53</v>
      </c>
      <c r="E2" s="10" t="s">
        <v>57</v>
      </c>
      <c r="F2" s="10" t="s">
        <v>61</v>
      </c>
      <c r="G2" s="10" t="s">
        <v>65</v>
      </c>
      <c r="H2" s="10" t="s">
        <v>69</v>
      </c>
      <c r="I2" s="10" t="s">
        <v>76</v>
      </c>
      <c r="J2" s="10" t="s">
        <v>81</v>
      </c>
      <c r="K2" s="10" t="s">
        <v>85</v>
      </c>
      <c r="L2" s="10" t="s">
        <v>90</v>
      </c>
      <c r="M2" s="10" t="s">
        <v>94</v>
      </c>
      <c r="N2" s="10" t="s">
        <v>97</v>
      </c>
      <c r="O2" s="10" t="s">
        <v>103</v>
      </c>
      <c r="P2" s="10" t="s">
        <v>107</v>
      </c>
      <c r="Q2" s="10" t="n">
        <v>118</v>
      </c>
      <c r="R2" s="10" t="n">
        <v>118</v>
      </c>
      <c r="S2" s="15" t="n">
        <f aca="false">IF(OR(Q2="",Q2=0),"",1-R2/Q2)</f>
        <v>0</v>
      </c>
      <c r="T2" s="10" t="s">
        <v>75</v>
      </c>
      <c r="U2" s="10"/>
      <c r="V2" s="10" t="s">
        <v>36</v>
      </c>
      <c r="W2" s="10" t="s">
        <v>139</v>
      </c>
      <c r="X2" s="10" t="n">
        <v>7</v>
      </c>
      <c r="Y2" s="10"/>
      <c r="Z2" s="10"/>
      <c r="AA2" s="10" t="s">
        <v>36</v>
      </c>
      <c r="AB2" s="10"/>
      <c r="AC2" s="10" t="s">
        <v>163</v>
      </c>
      <c r="AD2" s="10" t="s">
        <v>168</v>
      </c>
      <c r="AE2" s="10" t="s">
        <v>172</v>
      </c>
      <c r="AF2" s="10" t="s">
        <v>178</v>
      </c>
      <c r="AG2" s="10" t="s">
        <v>182</v>
      </c>
      <c r="AH2" s="10" t="s">
        <v>186</v>
      </c>
      <c r="AI2" s="10" t="s">
        <v>192</v>
      </c>
      <c r="AJ2" s="10" t="s">
        <v>196</v>
      </c>
      <c r="AK2" s="10" t="s">
        <v>201</v>
      </c>
      <c r="AL2" s="16" t="n">
        <v>0.74</v>
      </c>
      <c r="AM2" s="16" t="n">
        <v>0.26</v>
      </c>
      <c r="AN2" s="10" t="s">
        <v>75</v>
      </c>
      <c r="AO2" s="10" t="s">
        <v>215</v>
      </c>
      <c r="AP2" s="10" t="s">
        <v>221</v>
      </c>
      <c r="AQ2" s="10" t="s">
        <v>226</v>
      </c>
      <c r="AR2" s="10"/>
      <c r="AS2" s="10" t="n">
        <v>4.7</v>
      </c>
      <c r="AT2" s="10" t="n">
        <v>38</v>
      </c>
      <c r="AU2" s="10" t="s">
        <v>241</v>
      </c>
      <c r="AV2" s="10" t="s">
        <v>37</v>
      </c>
      <c r="AW2" s="10" t="s">
        <v>249</v>
      </c>
      <c r="AX2" s="10" t="s">
        <v>510</v>
      </c>
      <c r="AY2" s="10" t="s">
        <v>261</v>
      </c>
    </row>
    <row r="4" customFormat="false" ht="15" hidden="false" customHeight="false" outlineLevel="0" collapsed="false">
      <c r="A4" s="6" t="s">
        <v>511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4A30"/>
    <pageSetUpPr fitToPage="fals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2"/>
    <col collapsed="false" customWidth="true" hidden="false" outlineLevel="0" max="6" min="6" style="0" width="14"/>
  </cols>
  <sheetData>
    <row r="1" customFormat="false" ht="17.35" hidden="false" customHeight="false" outlineLevel="0" collapsed="false">
      <c r="A1" s="1" t="s">
        <v>512</v>
      </c>
    </row>
    <row r="2" customFormat="false" ht="15" hidden="false" customHeight="false" outlineLevel="0" collapsed="false">
      <c r="A2" s="7" t="s">
        <v>513</v>
      </c>
      <c r="C2" s="17" t="n">
        <v>0.9</v>
      </c>
    </row>
    <row r="3" customFormat="false" ht="15" hidden="false" customHeight="false" outlineLevel="0" collapsed="false">
      <c r="A3" s="7" t="s">
        <v>514</v>
      </c>
      <c r="C3" s="17" t="n">
        <v>0.05</v>
      </c>
    </row>
    <row r="5" customFormat="false" ht="15" hidden="false" customHeight="false" outlineLevel="0" collapsed="false">
      <c r="A5" s="5" t="s">
        <v>515</v>
      </c>
      <c r="B5" s="5" t="s">
        <v>395</v>
      </c>
      <c r="C5" s="5" t="s">
        <v>396</v>
      </c>
      <c r="D5" s="5" t="s">
        <v>43</v>
      </c>
      <c r="E5" s="5" t="s">
        <v>397</v>
      </c>
      <c r="F5" s="5" t="s">
        <v>398</v>
      </c>
    </row>
    <row r="6" customFormat="false" ht="15" hidden="false" customHeight="false" outlineLevel="0" collapsed="false">
      <c r="A6" s="7" t="s">
        <v>516</v>
      </c>
      <c r="B6" s="18" t="n">
        <f aca="false">COUNTIF(Wave1_Catalog!$B$2:$B$5000,"Alo")</f>
        <v>0</v>
      </c>
      <c r="C6" s="18" t="n">
        <f aca="false">COUNTIF(Wave1_Catalog!$B$2:$B$5000,"lululemon")</f>
        <v>0</v>
      </c>
      <c r="D6" s="18" t="n">
        <f aca="false">COUNTIF(Wave1_Catalog!$B$2:$B$5000,"Vuori")</f>
        <v>1</v>
      </c>
      <c r="E6" s="18" t="n">
        <f aca="false">COUNTIF(Wave1_Catalog!$B$2:$B$5000,"Athleta")</f>
        <v>0</v>
      </c>
      <c r="F6" s="18" t="n">
        <f aca="false">COUNTIF(Wave1_Catalog!$B$2:$B$5000,"Beyond Yoga")</f>
        <v>0</v>
      </c>
    </row>
    <row r="7" customFormat="false" ht="15" hidden="false" customHeight="false" outlineLevel="0" collapsed="false">
      <c r="A7" s="19" t="s">
        <v>44</v>
      </c>
      <c r="B7" s="20" t="str">
        <f aca="false">IF(B$6=0,"",COUNTIFS(Wave1_Catalog!$B$2:$B$5000,"Alo",Wave1_Catalog!$C$2:$C$5000,"&lt;&gt;")/B$6)</f>
        <v/>
      </c>
      <c r="C7" s="20" t="str">
        <f aca="false">IF(C$6=0,"",COUNTIFS(Wave1_Catalog!$B$2:$B$5000,"lululemon",Wave1_Catalog!$C$2:$C$5000,"&lt;&gt;")/C$6)</f>
        <v/>
      </c>
      <c r="D7" s="20" t="n">
        <f aca="false">IF(D$6=0,"",COUNTIFS(Wave1_Catalog!$B$2:$B$5000,"Vuori",Wave1_Catalog!$C$2:$C$5000,"&lt;&gt;")/D$6)</f>
        <v>1</v>
      </c>
      <c r="E7" s="20" t="str">
        <f aca="false">IF(E$6=0,"",COUNTIFS(Wave1_Catalog!$B$2:$B$5000,"Athleta",Wave1_Catalog!$C$2:$C$5000,"&lt;&gt;")/E$6)</f>
        <v/>
      </c>
      <c r="F7" s="20" t="str">
        <f aca="false">IF(F$6=0,"",COUNTIFS(Wave1_Catalog!$B$2:$B$5000,"Beyond Yoga",Wave1_Catalog!$C$2:$C$5000,"&lt;&gt;")/F$6)</f>
        <v/>
      </c>
    </row>
    <row r="8" customFormat="false" ht="15" hidden="false" customHeight="false" outlineLevel="0" collapsed="false">
      <c r="A8" s="19" t="s">
        <v>49</v>
      </c>
      <c r="B8" s="20" t="str">
        <f aca="false">IF(B$6=0,"",COUNTIFS(Wave1_Catalog!$B$2:$B$5000,"Alo",Wave1_Catalog!$D$2:$D$5000,"&lt;&gt;")/B$6)</f>
        <v/>
      </c>
      <c r="C8" s="20" t="str">
        <f aca="false">IF(C$6=0,"",COUNTIFS(Wave1_Catalog!$B$2:$B$5000,"lululemon",Wave1_Catalog!$D$2:$D$5000,"&lt;&gt;")/C$6)</f>
        <v/>
      </c>
      <c r="D8" s="20" t="n">
        <f aca="false">IF(D$6=0,"",COUNTIFS(Wave1_Catalog!$B$2:$B$5000,"Vuori",Wave1_Catalog!$D$2:$D$5000,"&lt;&gt;")/D$6)</f>
        <v>1</v>
      </c>
      <c r="E8" s="20" t="str">
        <f aca="false">IF(E$6=0,"",COUNTIFS(Wave1_Catalog!$B$2:$B$5000,"Athleta",Wave1_Catalog!$D$2:$D$5000,"&lt;&gt;")/E$6)</f>
        <v/>
      </c>
      <c r="F8" s="20" t="str">
        <f aca="false">IF(F$6=0,"",COUNTIFS(Wave1_Catalog!$B$2:$B$5000,"Beyond Yoga",Wave1_Catalog!$D$2:$D$5000,"&lt;&gt;")/F$6)</f>
        <v/>
      </c>
    </row>
    <row r="9" customFormat="false" ht="15" hidden="false" customHeight="false" outlineLevel="0" collapsed="false">
      <c r="A9" s="19" t="s">
        <v>54</v>
      </c>
      <c r="B9" s="20" t="str">
        <f aca="false">IF(B$6=0,"",COUNTIFS(Wave1_Catalog!$B$2:$B$5000,"Alo",Wave1_Catalog!$E$2:$E$5000,"&lt;&gt;")/B$6)</f>
        <v/>
      </c>
      <c r="C9" s="20" t="str">
        <f aca="false">IF(C$6=0,"",COUNTIFS(Wave1_Catalog!$B$2:$B$5000,"lululemon",Wave1_Catalog!$E$2:$E$5000,"&lt;&gt;")/C$6)</f>
        <v/>
      </c>
      <c r="D9" s="20" t="n">
        <f aca="false">IF(D$6=0,"",COUNTIFS(Wave1_Catalog!$B$2:$B$5000,"Vuori",Wave1_Catalog!$E$2:$E$5000,"&lt;&gt;")/D$6)</f>
        <v>1</v>
      </c>
      <c r="E9" s="20" t="str">
        <f aca="false">IF(E$6=0,"",COUNTIFS(Wave1_Catalog!$B$2:$B$5000,"Athleta",Wave1_Catalog!$E$2:$E$5000,"&lt;&gt;")/E$6)</f>
        <v/>
      </c>
      <c r="F9" s="20" t="str">
        <f aca="false">IF(F$6=0,"",COUNTIFS(Wave1_Catalog!$B$2:$B$5000,"Beyond Yoga",Wave1_Catalog!$E$2:$E$5000,"&lt;&gt;")/F$6)</f>
        <v/>
      </c>
    </row>
    <row r="10" customFormat="false" ht="15" hidden="false" customHeight="false" outlineLevel="0" collapsed="false">
      <c r="A10" s="19" t="s">
        <v>58</v>
      </c>
      <c r="B10" s="20" t="str">
        <f aca="false">IF(B$6=0,"",COUNTIFS(Wave1_Catalog!$B$2:$B$5000,"Alo",Wave1_Catalog!$F$2:$F$5000,"&lt;&gt;")/B$6)</f>
        <v/>
      </c>
      <c r="C10" s="20" t="str">
        <f aca="false">IF(C$6=0,"",COUNTIFS(Wave1_Catalog!$B$2:$B$5000,"lululemon",Wave1_Catalog!$F$2:$F$5000,"&lt;&gt;")/C$6)</f>
        <v/>
      </c>
      <c r="D10" s="20" t="n">
        <f aca="false">IF(D$6=0,"",COUNTIFS(Wave1_Catalog!$B$2:$B$5000,"Vuori",Wave1_Catalog!$F$2:$F$5000,"&lt;&gt;")/D$6)</f>
        <v>1</v>
      </c>
      <c r="E10" s="20" t="str">
        <f aca="false">IF(E$6=0,"",COUNTIFS(Wave1_Catalog!$B$2:$B$5000,"Athleta",Wave1_Catalog!$F$2:$F$5000,"&lt;&gt;")/E$6)</f>
        <v/>
      </c>
      <c r="F10" s="20" t="str">
        <f aca="false">IF(F$6=0,"",COUNTIFS(Wave1_Catalog!$B$2:$B$5000,"Beyond Yoga",Wave1_Catalog!$F$2:$F$5000,"&lt;&gt;")/F$6)</f>
        <v/>
      </c>
    </row>
    <row r="11" customFormat="false" ht="15" hidden="false" customHeight="false" outlineLevel="0" collapsed="false">
      <c r="A11" s="19" t="s">
        <v>62</v>
      </c>
      <c r="B11" s="20" t="str">
        <f aca="false">IF(B$6=0,"",COUNTIFS(Wave1_Catalog!$B$2:$B$5000,"Alo",Wave1_Catalog!$G$2:$G$5000,"&lt;&gt;")/B$6)</f>
        <v/>
      </c>
      <c r="C11" s="20" t="str">
        <f aca="false">IF(C$6=0,"",COUNTIFS(Wave1_Catalog!$B$2:$B$5000,"lululemon",Wave1_Catalog!$G$2:$G$5000,"&lt;&gt;")/C$6)</f>
        <v/>
      </c>
      <c r="D11" s="20" t="n">
        <f aca="false">IF(D$6=0,"",COUNTIFS(Wave1_Catalog!$B$2:$B$5000,"Vuori",Wave1_Catalog!$G$2:$G$5000,"&lt;&gt;")/D$6)</f>
        <v>1</v>
      </c>
      <c r="E11" s="20" t="str">
        <f aca="false">IF(E$6=0,"",COUNTIFS(Wave1_Catalog!$B$2:$B$5000,"Athleta",Wave1_Catalog!$G$2:$G$5000,"&lt;&gt;")/E$6)</f>
        <v/>
      </c>
      <c r="F11" s="20" t="str">
        <f aca="false">IF(F$6=0,"",COUNTIFS(Wave1_Catalog!$B$2:$B$5000,"Beyond Yoga",Wave1_Catalog!$G$2:$G$5000,"&lt;&gt;")/F$6)</f>
        <v/>
      </c>
    </row>
    <row r="12" customFormat="false" ht="15" hidden="false" customHeight="false" outlineLevel="0" collapsed="false">
      <c r="A12" s="19" t="s">
        <v>82</v>
      </c>
      <c r="B12" s="20" t="str">
        <f aca="false">IF(B$6=0,"",COUNTIFS(Wave1_Catalog!$B$2:$B$5000,"Alo",Wave1_Catalog!$K$2:$K$5000,"&lt;&gt;")/B$6)</f>
        <v/>
      </c>
      <c r="C12" s="20" t="str">
        <f aca="false">IF(C$6=0,"",COUNTIFS(Wave1_Catalog!$B$2:$B$5000,"lululemon",Wave1_Catalog!$K$2:$K$5000,"&lt;&gt;")/C$6)</f>
        <v/>
      </c>
      <c r="D12" s="20" t="n">
        <f aca="false">IF(D$6=0,"",COUNTIFS(Wave1_Catalog!$B$2:$B$5000,"Vuori",Wave1_Catalog!$K$2:$K$5000,"&lt;&gt;")/D$6)</f>
        <v>1</v>
      </c>
      <c r="E12" s="20" t="str">
        <f aca="false">IF(E$6=0,"",COUNTIFS(Wave1_Catalog!$B$2:$B$5000,"Athleta",Wave1_Catalog!$K$2:$K$5000,"&lt;&gt;")/E$6)</f>
        <v/>
      </c>
      <c r="F12" s="20" t="str">
        <f aca="false">IF(F$6=0,"",COUNTIFS(Wave1_Catalog!$B$2:$B$5000,"Beyond Yoga",Wave1_Catalog!$K$2:$K$5000,"&lt;&gt;")/F$6)</f>
        <v/>
      </c>
    </row>
    <row r="13" customFormat="false" ht="15" hidden="false" customHeight="false" outlineLevel="0" collapsed="false">
      <c r="A13" s="19" t="s">
        <v>104</v>
      </c>
      <c r="B13" s="20" t="str">
        <f aca="false">IF(B$6=0,"",COUNTIFS(Wave1_Catalog!$B$2:$B$5000,"Alo",Wave1_Catalog!$P$2:$P$5000,"&lt;&gt;")/B$6)</f>
        <v/>
      </c>
      <c r="C13" s="20" t="str">
        <f aca="false">IF(C$6=0,"",COUNTIFS(Wave1_Catalog!$B$2:$B$5000,"lululemon",Wave1_Catalog!$P$2:$P$5000,"&lt;&gt;")/C$6)</f>
        <v/>
      </c>
      <c r="D13" s="20" t="n">
        <f aca="false">IF(D$6=0,"",COUNTIFS(Wave1_Catalog!$B$2:$B$5000,"Vuori",Wave1_Catalog!$P$2:$P$5000,"&lt;&gt;")/D$6)</f>
        <v>1</v>
      </c>
      <c r="E13" s="20" t="str">
        <f aca="false">IF(E$6=0,"",COUNTIFS(Wave1_Catalog!$B$2:$B$5000,"Athleta",Wave1_Catalog!$P$2:$P$5000,"&lt;&gt;")/E$6)</f>
        <v/>
      </c>
      <c r="F13" s="20" t="str">
        <f aca="false">IF(F$6=0,"",COUNTIFS(Wave1_Catalog!$B$2:$B$5000,"Beyond Yoga",Wave1_Catalog!$P$2:$P$5000,"&lt;&gt;")/F$6)</f>
        <v/>
      </c>
    </row>
    <row r="14" customFormat="false" ht="15" hidden="false" customHeight="false" outlineLevel="0" collapsed="false">
      <c r="A14" s="19" t="s">
        <v>108</v>
      </c>
      <c r="B14" s="20" t="str">
        <f aca="false">IF(B$6=0,"",COUNTIFS(Wave1_Catalog!$B$2:$B$5000,"Alo",Wave1_Catalog!$Q$2:$Q$5000,"&lt;&gt;")/B$6)</f>
        <v/>
      </c>
      <c r="C14" s="20" t="str">
        <f aca="false">IF(C$6=0,"",COUNTIFS(Wave1_Catalog!$B$2:$B$5000,"lululemon",Wave1_Catalog!$Q$2:$Q$5000,"&lt;&gt;")/C$6)</f>
        <v/>
      </c>
      <c r="D14" s="20" t="n">
        <f aca="false">IF(D$6=0,"",COUNTIFS(Wave1_Catalog!$B$2:$B$5000,"Vuori",Wave1_Catalog!$Q$2:$Q$5000,"&lt;&gt;")/D$6)</f>
        <v>1</v>
      </c>
      <c r="E14" s="20" t="str">
        <f aca="false">IF(E$6=0,"",COUNTIFS(Wave1_Catalog!$B$2:$B$5000,"Athleta",Wave1_Catalog!$Q$2:$Q$5000,"&lt;&gt;")/E$6)</f>
        <v/>
      </c>
      <c r="F14" s="20" t="str">
        <f aca="false">IF(F$6=0,"",COUNTIFS(Wave1_Catalog!$B$2:$B$5000,"Beyond Yoga",Wave1_Catalog!$Q$2:$Q$5000,"&lt;&gt;")/F$6)</f>
        <v/>
      </c>
    </row>
    <row r="15" customFormat="false" ht="15" hidden="false" customHeight="false" outlineLevel="0" collapsed="false">
      <c r="A15" s="19" t="s">
        <v>114</v>
      </c>
      <c r="B15" s="20" t="str">
        <f aca="false">IF(B$6=0,"",COUNTIFS(Wave1_Catalog!$B$2:$B$5000,"Alo",Wave1_Catalog!$R$2:$R$5000,"&lt;&gt;")/B$6)</f>
        <v/>
      </c>
      <c r="C15" s="20" t="str">
        <f aca="false">IF(C$6=0,"",COUNTIFS(Wave1_Catalog!$B$2:$B$5000,"lululemon",Wave1_Catalog!$R$2:$R$5000,"&lt;&gt;")/C$6)</f>
        <v/>
      </c>
      <c r="D15" s="20" t="n">
        <f aca="false">IF(D$6=0,"",COUNTIFS(Wave1_Catalog!$B$2:$B$5000,"Vuori",Wave1_Catalog!$R$2:$R$5000,"&lt;&gt;")/D$6)</f>
        <v>1</v>
      </c>
      <c r="E15" s="20" t="str">
        <f aca="false">IF(E$6=0,"",COUNTIFS(Wave1_Catalog!$B$2:$B$5000,"Athleta",Wave1_Catalog!$R$2:$R$5000,"&lt;&gt;")/E$6)</f>
        <v/>
      </c>
      <c r="F15" s="20" t="str">
        <f aca="false">IF(F$6=0,"",COUNTIFS(Wave1_Catalog!$B$2:$B$5000,"Beyond Yoga",Wave1_Catalog!$R$2:$R$5000,"&lt;&gt;")/F$6)</f>
        <v/>
      </c>
    </row>
    <row r="16" customFormat="false" ht="15" hidden="false" customHeight="false" outlineLevel="0" collapsed="false">
      <c r="A16" s="19" t="s">
        <v>124</v>
      </c>
      <c r="B16" s="20" t="str">
        <f aca="false">IF(B$6=0,"",COUNTIFS(Wave1_Catalog!$B$2:$B$5000,"Alo",Wave1_Catalog!$T$2:$T$5000,"&lt;&gt;")/B$6)</f>
        <v/>
      </c>
      <c r="C16" s="20" t="str">
        <f aca="false">IF(C$6=0,"",COUNTIFS(Wave1_Catalog!$B$2:$B$5000,"lululemon",Wave1_Catalog!$T$2:$T$5000,"&lt;&gt;")/C$6)</f>
        <v/>
      </c>
      <c r="D16" s="20" t="n">
        <f aca="false">IF(D$6=0,"",COUNTIFS(Wave1_Catalog!$B$2:$B$5000,"Vuori",Wave1_Catalog!$T$2:$T$5000,"&lt;&gt;")/D$6)</f>
        <v>1</v>
      </c>
      <c r="E16" s="20" t="str">
        <f aca="false">IF(E$6=0,"",COUNTIFS(Wave1_Catalog!$B$2:$B$5000,"Athleta",Wave1_Catalog!$T$2:$T$5000,"&lt;&gt;")/E$6)</f>
        <v/>
      </c>
      <c r="F16" s="20" t="str">
        <f aca="false">IF(F$6=0,"",COUNTIFS(Wave1_Catalog!$B$2:$B$5000,"Beyond Yoga",Wave1_Catalog!$T$2:$T$5000,"&lt;&gt;")/F$6)</f>
        <v/>
      </c>
    </row>
    <row r="17" customFormat="false" ht="15" hidden="false" customHeight="false" outlineLevel="0" collapsed="false">
      <c r="A17" s="19" t="s">
        <v>132</v>
      </c>
      <c r="B17" s="20" t="str">
        <f aca="false">IF(B$6=0,"",COUNTIFS(Wave1_Catalog!$B$2:$B$5000,"Alo",Wave1_Catalog!$V$2:$V$5000,"&lt;&gt;")/B$6)</f>
        <v/>
      </c>
      <c r="C17" s="20" t="str">
        <f aca="false">IF(C$6=0,"",COUNTIFS(Wave1_Catalog!$B$2:$B$5000,"lululemon",Wave1_Catalog!$V$2:$V$5000,"&lt;&gt;")/C$6)</f>
        <v/>
      </c>
      <c r="D17" s="20" t="n">
        <f aca="false">IF(D$6=0,"",COUNTIFS(Wave1_Catalog!$B$2:$B$5000,"Vuori",Wave1_Catalog!$V$2:$V$5000,"&lt;&gt;")/D$6)</f>
        <v>1</v>
      </c>
      <c r="E17" s="20" t="str">
        <f aca="false">IF(E$6=0,"",COUNTIFS(Wave1_Catalog!$B$2:$B$5000,"Athleta",Wave1_Catalog!$V$2:$V$5000,"&lt;&gt;")/E$6)</f>
        <v/>
      </c>
      <c r="F17" s="20" t="str">
        <f aca="false">IF(F$6=0,"",COUNTIFS(Wave1_Catalog!$B$2:$B$5000,"Beyond Yoga",Wave1_Catalog!$V$2:$V$5000,"&lt;&gt;")/F$6)</f>
        <v/>
      </c>
    </row>
    <row r="18" customFormat="false" ht="15" hidden="false" customHeight="false" outlineLevel="0" collapsed="false">
      <c r="A18" s="19" t="s">
        <v>135</v>
      </c>
      <c r="B18" s="20" t="str">
        <f aca="false">IF(B$6=0,"",COUNTIFS(Wave1_Catalog!$B$2:$B$5000,"Alo",Wave1_Catalog!$W$2:$W$5000,"&lt;&gt;")/B$6)</f>
        <v/>
      </c>
      <c r="C18" s="20" t="str">
        <f aca="false">IF(C$6=0,"",COUNTIFS(Wave1_Catalog!$B$2:$B$5000,"lululemon",Wave1_Catalog!$W$2:$W$5000,"&lt;&gt;")/C$6)</f>
        <v/>
      </c>
      <c r="D18" s="20" t="n">
        <f aca="false">IF(D$6=0,"",COUNTIFS(Wave1_Catalog!$B$2:$B$5000,"Vuori",Wave1_Catalog!$W$2:$W$5000,"&lt;&gt;")/D$6)</f>
        <v>1</v>
      </c>
      <c r="E18" s="20" t="str">
        <f aca="false">IF(E$6=0,"",COUNTIFS(Wave1_Catalog!$B$2:$B$5000,"Athleta",Wave1_Catalog!$W$2:$W$5000,"&lt;&gt;")/E$6)</f>
        <v/>
      </c>
      <c r="F18" s="20" t="str">
        <f aca="false">IF(F$6=0,"",COUNTIFS(Wave1_Catalog!$B$2:$B$5000,"Beyond Yoga",Wave1_Catalog!$W$2:$W$5000,"&lt;&gt;")/F$6)</f>
        <v/>
      </c>
    </row>
    <row r="19" customFormat="false" ht="15" hidden="false" customHeight="false" outlineLevel="0" collapsed="false">
      <c r="A19" s="19" t="s">
        <v>140</v>
      </c>
      <c r="B19" s="20" t="str">
        <f aca="false">IF(B$6=0,"",COUNTIFS(Wave1_Catalog!$B$2:$B$5000,"Alo",Wave1_Catalog!$X$2:$X$5000,"&lt;&gt;")/B$6)</f>
        <v/>
      </c>
      <c r="C19" s="20" t="str">
        <f aca="false">IF(C$6=0,"",COUNTIFS(Wave1_Catalog!$B$2:$B$5000,"lululemon",Wave1_Catalog!$X$2:$X$5000,"&lt;&gt;")/C$6)</f>
        <v/>
      </c>
      <c r="D19" s="20" t="n">
        <f aca="false">IF(D$6=0,"",COUNTIFS(Wave1_Catalog!$B$2:$B$5000,"Vuori",Wave1_Catalog!$X$2:$X$5000,"&lt;&gt;")/D$6)</f>
        <v>1</v>
      </c>
      <c r="E19" s="20" t="str">
        <f aca="false">IF(E$6=0,"",COUNTIFS(Wave1_Catalog!$B$2:$B$5000,"Athleta",Wave1_Catalog!$X$2:$X$5000,"&lt;&gt;")/E$6)</f>
        <v/>
      </c>
      <c r="F19" s="20" t="str">
        <f aca="false">IF(F$6=0,"",COUNTIFS(Wave1_Catalog!$B$2:$B$5000,"Beyond Yoga",Wave1_Catalog!$X$2:$X$5000,"&lt;&gt;")/F$6)</f>
        <v/>
      </c>
    </row>
    <row r="20" customFormat="false" ht="15" hidden="false" customHeight="false" outlineLevel="0" collapsed="false">
      <c r="A20" s="19" t="s">
        <v>144</v>
      </c>
      <c r="B20" s="20" t="str">
        <f aca="false">IF(B$6=0,"",COUNTIFS(Wave1_Catalog!$B$2:$B$5000,"Alo",Wave1_Catalog!$Y$2:$Y$5000,"&lt;&gt;")/B$6)</f>
        <v/>
      </c>
      <c r="C20" s="20" t="str">
        <f aca="false">IF(C$6=0,"",COUNTIFS(Wave1_Catalog!$B$2:$B$5000,"lululemon",Wave1_Catalog!$Y$2:$Y$5000,"&lt;&gt;")/C$6)</f>
        <v/>
      </c>
      <c r="D20" s="20" t="n">
        <f aca="false">IF(D$6=0,"",COUNTIFS(Wave1_Catalog!$B$2:$B$5000,"Vuori",Wave1_Catalog!$Y$2:$Y$5000,"&lt;&gt;")/D$6)</f>
        <v>0</v>
      </c>
      <c r="E20" s="20" t="str">
        <f aca="false">IF(E$6=0,"",COUNTIFS(Wave1_Catalog!$B$2:$B$5000,"Athleta",Wave1_Catalog!$Y$2:$Y$5000,"&lt;&gt;")/E$6)</f>
        <v/>
      </c>
      <c r="F20" s="20" t="str">
        <f aca="false">IF(F$6=0,"",COUNTIFS(Wave1_Catalog!$B$2:$B$5000,"Beyond Yoga",Wave1_Catalog!$Y$2:$Y$5000,"&lt;&gt;")/F$6)</f>
        <v/>
      </c>
    </row>
    <row r="21" customFormat="false" ht="15" hidden="false" customHeight="false" outlineLevel="0" collapsed="false">
      <c r="A21" s="19" t="s">
        <v>149</v>
      </c>
      <c r="B21" s="20" t="str">
        <f aca="false">IF(B$6=0,"",COUNTIFS(Wave1_Catalog!$B$2:$B$5000,"Alo",Wave1_Catalog!$Z$2:$Z$5000,"&lt;&gt;")/B$6)</f>
        <v/>
      </c>
      <c r="C21" s="20" t="str">
        <f aca="false">IF(C$6=0,"",COUNTIFS(Wave1_Catalog!$B$2:$B$5000,"lululemon",Wave1_Catalog!$Z$2:$Z$5000,"&lt;&gt;")/C$6)</f>
        <v/>
      </c>
      <c r="D21" s="20" t="n">
        <f aca="false">IF(D$6=0,"",COUNTIFS(Wave1_Catalog!$B$2:$B$5000,"Vuori",Wave1_Catalog!$Z$2:$Z$5000,"&lt;&gt;")/D$6)</f>
        <v>0</v>
      </c>
      <c r="E21" s="20" t="str">
        <f aca="false">IF(E$6=0,"",COUNTIFS(Wave1_Catalog!$B$2:$B$5000,"Athleta",Wave1_Catalog!$Z$2:$Z$5000,"&lt;&gt;")/E$6)</f>
        <v/>
      </c>
      <c r="F21" s="20" t="str">
        <f aca="false">IF(F$6=0,"",COUNTIFS(Wave1_Catalog!$B$2:$B$5000,"Beyond Yoga",Wave1_Catalog!$Z$2:$Z$5000,"&lt;&gt;")/F$6)</f>
        <v/>
      </c>
    </row>
    <row r="22" customFormat="false" ht="15" hidden="false" customHeight="false" outlineLevel="0" collapsed="false">
      <c r="A22" s="19" t="s">
        <v>151</v>
      </c>
      <c r="B22" s="20" t="str">
        <f aca="false">IF(B$6=0,"",COUNTIFS(Wave1_Catalog!$B$2:$B$5000,"Alo",Wave1_Catalog!$AA$2:$AA$5000,"&lt;&gt;")/B$6)</f>
        <v/>
      </c>
      <c r="C22" s="20" t="str">
        <f aca="false">IF(C$6=0,"",COUNTIFS(Wave1_Catalog!$B$2:$B$5000,"lululemon",Wave1_Catalog!$AA$2:$AA$5000,"&lt;&gt;")/C$6)</f>
        <v/>
      </c>
      <c r="D22" s="20" t="n">
        <f aca="false">IF(D$6=0,"",COUNTIFS(Wave1_Catalog!$B$2:$B$5000,"Vuori",Wave1_Catalog!$AA$2:$AA$5000,"&lt;&gt;")/D$6)</f>
        <v>1</v>
      </c>
      <c r="E22" s="20" t="str">
        <f aca="false">IF(E$6=0,"",COUNTIFS(Wave1_Catalog!$B$2:$B$5000,"Athleta",Wave1_Catalog!$AA$2:$AA$5000,"&lt;&gt;")/E$6)</f>
        <v/>
      </c>
      <c r="F22" s="20" t="str">
        <f aca="false">IF(F$6=0,"",COUNTIFS(Wave1_Catalog!$B$2:$B$5000,"Beyond Yoga",Wave1_Catalog!$AA$2:$AA$5000,"&lt;&gt;")/F$6)</f>
        <v/>
      </c>
    </row>
    <row r="23" customFormat="false" ht="15" hidden="false" customHeight="false" outlineLevel="0" collapsed="false">
      <c r="A23" s="19" t="s">
        <v>159</v>
      </c>
      <c r="B23" s="20" t="str">
        <f aca="false">IF(B$6=0,"",COUNTIFS(Wave1_Catalog!$B$2:$B$5000,"Alo",Wave1_Catalog!$AC$2:$AC$5000,"&lt;&gt;")/B$6)</f>
        <v/>
      </c>
      <c r="C23" s="20" t="str">
        <f aca="false">IF(C$6=0,"",COUNTIFS(Wave1_Catalog!$B$2:$B$5000,"lululemon",Wave1_Catalog!$AC$2:$AC$5000,"&lt;&gt;")/C$6)</f>
        <v/>
      </c>
      <c r="D23" s="20" t="n">
        <f aca="false">IF(D$6=0,"",COUNTIFS(Wave1_Catalog!$B$2:$B$5000,"Vuori",Wave1_Catalog!$AC$2:$AC$5000,"&lt;&gt;")/D$6)</f>
        <v>1</v>
      </c>
      <c r="E23" s="20" t="str">
        <f aca="false">IF(E$6=0,"",COUNTIFS(Wave1_Catalog!$B$2:$B$5000,"Athleta",Wave1_Catalog!$AC$2:$AC$5000,"&lt;&gt;")/E$6)</f>
        <v/>
      </c>
      <c r="F23" s="20" t="str">
        <f aca="false">IF(F$6=0,"",COUNTIFS(Wave1_Catalog!$B$2:$B$5000,"Beyond Yoga",Wave1_Catalog!$AC$2:$AC$5000,"&lt;&gt;")/F$6)</f>
        <v/>
      </c>
    </row>
    <row r="24" customFormat="false" ht="15" hidden="false" customHeight="false" outlineLevel="0" collapsed="false">
      <c r="A24" s="19" t="s">
        <v>164</v>
      </c>
      <c r="B24" s="20" t="str">
        <f aca="false">IF(B$6=0,"",COUNTIFS(Wave1_Catalog!$B$2:$B$5000,"Alo",Wave1_Catalog!$AD$2:$AD$5000,"&lt;&gt;")/B$6)</f>
        <v/>
      </c>
      <c r="C24" s="20" t="str">
        <f aca="false">IF(C$6=0,"",COUNTIFS(Wave1_Catalog!$B$2:$B$5000,"lululemon",Wave1_Catalog!$AD$2:$AD$5000,"&lt;&gt;")/C$6)</f>
        <v/>
      </c>
      <c r="D24" s="20" t="n">
        <f aca="false">IF(D$6=0,"",COUNTIFS(Wave1_Catalog!$B$2:$B$5000,"Vuori",Wave1_Catalog!$AD$2:$AD$5000,"&lt;&gt;")/D$6)</f>
        <v>1</v>
      </c>
      <c r="E24" s="20" t="str">
        <f aca="false">IF(E$6=0,"",COUNTIFS(Wave1_Catalog!$B$2:$B$5000,"Athleta",Wave1_Catalog!$AD$2:$AD$5000,"&lt;&gt;")/E$6)</f>
        <v/>
      </c>
      <c r="F24" s="20" t="str">
        <f aca="false">IF(F$6=0,"",COUNTIFS(Wave1_Catalog!$B$2:$B$5000,"Beyond Yoga",Wave1_Catalog!$AD$2:$AD$5000,"&lt;&gt;")/F$6)</f>
        <v/>
      </c>
    </row>
    <row r="25" customFormat="false" ht="15" hidden="false" customHeight="false" outlineLevel="0" collapsed="false">
      <c r="A25" s="19" t="s">
        <v>169</v>
      </c>
      <c r="B25" s="20" t="str">
        <f aca="false">IF(B$6=0,"",COUNTIFS(Wave1_Catalog!$B$2:$B$5000,"Alo",Wave1_Catalog!$AE$2:$AE$5000,"&lt;&gt;")/B$6)</f>
        <v/>
      </c>
      <c r="C25" s="20" t="str">
        <f aca="false">IF(C$6=0,"",COUNTIFS(Wave1_Catalog!$B$2:$B$5000,"lululemon",Wave1_Catalog!$AE$2:$AE$5000,"&lt;&gt;")/C$6)</f>
        <v/>
      </c>
      <c r="D25" s="20" t="n">
        <f aca="false">IF(D$6=0,"",COUNTIFS(Wave1_Catalog!$B$2:$B$5000,"Vuori",Wave1_Catalog!$AE$2:$AE$5000,"&lt;&gt;")/D$6)</f>
        <v>1</v>
      </c>
      <c r="E25" s="20" t="str">
        <f aca="false">IF(E$6=0,"",COUNTIFS(Wave1_Catalog!$B$2:$B$5000,"Athleta",Wave1_Catalog!$AE$2:$AE$5000,"&lt;&gt;")/E$6)</f>
        <v/>
      </c>
      <c r="F25" s="20" t="str">
        <f aca="false">IF(F$6=0,"",COUNTIFS(Wave1_Catalog!$B$2:$B$5000,"Beyond Yoga",Wave1_Catalog!$AE$2:$AE$5000,"&lt;&gt;")/F$6)</f>
        <v/>
      </c>
    </row>
    <row r="26" customFormat="false" ht="15" hidden="false" customHeight="false" outlineLevel="0" collapsed="false">
      <c r="A26" s="19" t="s">
        <v>179</v>
      </c>
      <c r="B26" s="20" t="str">
        <f aca="false">IF(B$6=0,"",COUNTIFS(Wave1_Catalog!$B$2:$B$5000,"Alo",Wave1_Catalog!$AG$2:$AG$5000,"&lt;&gt;")/B$6)</f>
        <v/>
      </c>
      <c r="C26" s="20" t="str">
        <f aca="false">IF(C$6=0,"",COUNTIFS(Wave1_Catalog!$B$2:$B$5000,"lululemon",Wave1_Catalog!$AG$2:$AG$5000,"&lt;&gt;")/C$6)</f>
        <v/>
      </c>
      <c r="D26" s="20" t="n">
        <f aca="false">IF(D$6=0,"",COUNTIFS(Wave1_Catalog!$B$2:$B$5000,"Vuori",Wave1_Catalog!$AG$2:$AG$5000,"&lt;&gt;")/D$6)</f>
        <v>1</v>
      </c>
      <c r="E26" s="20" t="str">
        <f aca="false">IF(E$6=0,"",COUNTIFS(Wave1_Catalog!$B$2:$B$5000,"Athleta",Wave1_Catalog!$AG$2:$AG$5000,"&lt;&gt;")/E$6)</f>
        <v/>
      </c>
      <c r="F26" s="20" t="str">
        <f aca="false">IF(F$6=0,"",COUNTIFS(Wave1_Catalog!$B$2:$B$5000,"Beyond Yoga",Wave1_Catalog!$AG$2:$AG$5000,"&lt;&gt;")/F$6)</f>
        <v/>
      </c>
    </row>
    <row r="27" customFormat="false" ht="15" hidden="false" customHeight="false" outlineLevel="0" collapsed="false">
      <c r="A27" s="19" t="s">
        <v>187</v>
      </c>
      <c r="B27" s="20" t="str">
        <f aca="false">IF(B$6=0,"",COUNTIFS(Wave1_Catalog!$B$2:$B$5000,"Alo",Wave1_Catalog!$AI$2:$AI$5000,"&lt;&gt;")/B$6)</f>
        <v/>
      </c>
      <c r="C27" s="20" t="str">
        <f aca="false">IF(C$6=0,"",COUNTIFS(Wave1_Catalog!$B$2:$B$5000,"lululemon",Wave1_Catalog!$AI$2:$AI$5000,"&lt;&gt;")/C$6)</f>
        <v/>
      </c>
      <c r="D27" s="20" t="n">
        <f aca="false">IF(D$6=0,"",COUNTIFS(Wave1_Catalog!$B$2:$B$5000,"Vuori",Wave1_Catalog!$AI$2:$AI$5000,"&lt;&gt;")/D$6)</f>
        <v>1</v>
      </c>
      <c r="E27" s="20" t="str">
        <f aca="false">IF(E$6=0,"",COUNTIFS(Wave1_Catalog!$B$2:$B$5000,"Athleta",Wave1_Catalog!$AI$2:$AI$5000,"&lt;&gt;")/E$6)</f>
        <v/>
      </c>
      <c r="F27" s="20" t="str">
        <f aca="false">IF(F$6=0,"",COUNTIFS(Wave1_Catalog!$B$2:$B$5000,"Beyond Yoga",Wave1_Catalog!$AI$2:$AI$5000,"&lt;&gt;")/F$6)</f>
        <v/>
      </c>
    </row>
    <row r="28" customFormat="false" ht="15" hidden="false" customHeight="false" outlineLevel="0" collapsed="false">
      <c r="A28" s="19" t="s">
        <v>193</v>
      </c>
      <c r="B28" s="20" t="str">
        <f aca="false">IF(B$6=0,"",COUNTIFS(Wave1_Catalog!$B$2:$B$5000,"Alo",Wave1_Catalog!$AJ$2:$AJ$5000,"&lt;&gt;")/B$6)</f>
        <v/>
      </c>
      <c r="C28" s="20" t="str">
        <f aca="false">IF(C$6=0,"",COUNTIFS(Wave1_Catalog!$B$2:$B$5000,"lululemon",Wave1_Catalog!$AJ$2:$AJ$5000,"&lt;&gt;")/C$6)</f>
        <v/>
      </c>
      <c r="D28" s="20" t="n">
        <f aca="false">IF(D$6=0,"",COUNTIFS(Wave1_Catalog!$B$2:$B$5000,"Vuori",Wave1_Catalog!$AJ$2:$AJ$5000,"&lt;&gt;")/D$6)</f>
        <v>1</v>
      </c>
      <c r="E28" s="20" t="str">
        <f aca="false">IF(E$6=0,"",COUNTIFS(Wave1_Catalog!$B$2:$B$5000,"Athleta",Wave1_Catalog!$AJ$2:$AJ$5000,"&lt;&gt;")/E$6)</f>
        <v/>
      </c>
      <c r="F28" s="20" t="str">
        <f aca="false">IF(F$6=0,"",COUNTIFS(Wave1_Catalog!$B$2:$B$5000,"Beyond Yoga",Wave1_Catalog!$AJ$2:$AJ$5000,"&lt;&gt;")/F$6)</f>
        <v/>
      </c>
    </row>
    <row r="29" customFormat="false" ht="15" hidden="false" customHeight="false" outlineLevel="0" collapsed="false">
      <c r="A29" s="19" t="s">
        <v>197</v>
      </c>
      <c r="B29" s="20" t="str">
        <f aca="false">IF(B$6=0,"",COUNTIFS(Wave1_Catalog!$B$2:$B$5000,"Alo",Wave1_Catalog!$AK$2:$AK$5000,"&lt;&gt;")/B$6)</f>
        <v/>
      </c>
      <c r="C29" s="20" t="str">
        <f aca="false">IF(C$6=0,"",COUNTIFS(Wave1_Catalog!$B$2:$B$5000,"lululemon",Wave1_Catalog!$AK$2:$AK$5000,"&lt;&gt;")/C$6)</f>
        <v/>
      </c>
      <c r="D29" s="20" t="n">
        <f aca="false">IF(D$6=0,"",COUNTIFS(Wave1_Catalog!$B$2:$B$5000,"Vuori",Wave1_Catalog!$AK$2:$AK$5000,"&lt;&gt;")/D$6)</f>
        <v>1</v>
      </c>
      <c r="E29" s="20" t="str">
        <f aca="false">IF(E$6=0,"",COUNTIFS(Wave1_Catalog!$B$2:$B$5000,"Athleta",Wave1_Catalog!$AK$2:$AK$5000,"&lt;&gt;")/E$6)</f>
        <v/>
      </c>
      <c r="F29" s="20" t="str">
        <f aca="false">IF(F$6=0,"",COUNTIFS(Wave1_Catalog!$B$2:$B$5000,"Beyond Yoga",Wave1_Catalog!$AK$2:$AK$5000,"&lt;&gt;")/F$6)</f>
        <v/>
      </c>
    </row>
    <row r="30" customFormat="false" ht="15" hidden="false" customHeight="false" outlineLevel="0" collapsed="false">
      <c r="A30" s="19" t="s">
        <v>202</v>
      </c>
      <c r="B30" s="20" t="str">
        <f aca="false">IF(B$6=0,"",COUNTIFS(Wave1_Catalog!$B$2:$B$5000,"Alo",Wave1_Catalog!$AL$2:$AL$5000,"&lt;&gt;")/B$6)</f>
        <v/>
      </c>
      <c r="C30" s="20" t="str">
        <f aca="false">IF(C$6=0,"",COUNTIFS(Wave1_Catalog!$B$2:$B$5000,"lululemon",Wave1_Catalog!$AL$2:$AL$5000,"&lt;&gt;")/C$6)</f>
        <v/>
      </c>
      <c r="D30" s="20" t="n">
        <f aca="false">IF(D$6=0,"",COUNTIFS(Wave1_Catalog!$B$2:$B$5000,"Vuori",Wave1_Catalog!$AL$2:$AL$5000,"&lt;&gt;")/D$6)</f>
        <v>1</v>
      </c>
      <c r="E30" s="20" t="str">
        <f aca="false">IF(E$6=0,"",COUNTIFS(Wave1_Catalog!$B$2:$B$5000,"Athleta",Wave1_Catalog!$AL$2:$AL$5000,"&lt;&gt;")/E$6)</f>
        <v/>
      </c>
      <c r="F30" s="20" t="str">
        <f aca="false">IF(F$6=0,"",COUNTIFS(Wave1_Catalog!$B$2:$B$5000,"Beyond Yoga",Wave1_Catalog!$AL$2:$AL$5000,"&lt;&gt;")/F$6)</f>
        <v/>
      </c>
    </row>
    <row r="31" customFormat="false" ht="15" hidden="false" customHeight="false" outlineLevel="0" collapsed="false">
      <c r="A31" s="19" t="s">
        <v>205</v>
      </c>
      <c r="B31" s="20" t="str">
        <f aca="false">IF(B$6=0,"",COUNTIFS(Wave1_Catalog!$B$2:$B$5000,"Alo",Wave1_Catalog!$AM$2:$AM$5000,"&lt;&gt;")/B$6)</f>
        <v/>
      </c>
      <c r="C31" s="20" t="str">
        <f aca="false">IF(C$6=0,"",COUNTIFS(Wave1_Catalog!$B$2:$B$5000,"lululemon",Wave1_Catalog!$AM$2:$AM$5000,"&lt;&gt;")/C$6)</f>
        <v/>
      </c>
      <c r="D31" s="20" t="n">
        <f aca="false">IF(D$6=0,"",COUNTIFS(Wave1_Catalog!$B$2:$B$5000,"Vuori",Wave1_Catalog!$AM$2:$AM$5000,"&lt;&gt;")/D$6)</f>
        <v>1</v>
      </c>
      <c r="E31" s="20" t="str">
        <f aca="false">IF(E$6=0,"",COUNTIFS(Wave1_Catalog!$B$2:$B$5000,"Athleta",Wave1_Catalog!$AM$2:$AM$5000,"&lt;&gt;")/E$6)</f>
        <v/>
      </c>
      <c r="F31" s="20" t="str">
        <f aca="false">IF(F$6=0,"",COUNTIFS(Wave1_Catalog!$B$2:$B$5000,"Beyond Yoga",Wave1_Catalog!$AM$2:$AM$5000,"&lt;&gt;")/F$6)</f>
        <v/>
      </c>
    </row>
    <row r="32" customFormat="false" ht="15" hidden="false" customHeight="false" outlineLevel="0" collapsed="false">
      <c r="A32" s="19" t="s">
        <v>211</v>
      </c>
      <c r="B32" s="20" t="str">
        <f aca="false">IF(B$6=0,"",COUNTIFS(Wave1_Catalog!$B$2:$B$5000,"Alo",Wave1_Catalog!$AO$2:$AO$5000,"&lt;&gt;")/B$6)</f>
        <v/>
      </c>
      <c r="C32" s="20" t="str">
        <f aca="false">IF(C$6=0,"",COUNTIFS(Wave1_Catalog!$B$2:$B$5000,"lululemon",Wave1_Catalog!$AO$2:$AO$5000,"&lt;&gt;")/C$6)</f>
        <v/>
      </c>
      <c r="D32" s="20" t="n">
        <f aca="false">IF(D$6=0,"",COUNTIFS(Wave1_Catalog!$B$2:$B$5000,"Vuori",Wave1_Catalog!$AO$2:$AO$5000,"&lt;&gt;")/D$6)</f>
        <v>1</v>
      </c>
      <c r="E32" s="20" t="str">
        <f aca="false">IF(E$6=0,"",COUNTIFS(Wave1_Catalog!$B$2:$B$5000,"Athleta",Wave1_Catalog!$AO$2:$AO$5000,"&lt;&gt;")/E$6)</f>
        <v/>
      </c>
      <c r="F32" s="20" t="str">
        <f aca="false">IF(F$6=0,"",COUNTIFS(Wave1_Catalog!$B$2:$B$5000,"Beyond Yoga",Wave1_Catalog!$AO$2:$AO$5000,"&lt;&gt;")/F$6)</f>
        <v/>
      </c>
    </row>
    <row r="33" customFormat="false" ht="15" hidden="false" customHeight="false" outlineLevel="0" collapsed="false">
      <c r="A33" s="19" t="s">
        <v>216</v>
      </c>
      <c r="B33" s="20" t="str">
        <f aca="false">IF(B$6=0,"",COUNTIFS(Wave1_Catalog!$B$2:$B$5000,"Alo",Wave1_Catalog!$AP$2:$AP$5000,"&lt;&gt;")/B$6)</f>
        <v/>
      </c>
      <c r="C33" s="20" t="str">
        <f aca="false">IF(C$6=0,"",COUNTIFS(Wave1_Catalog!$B$2:$B$5000,"lululemon",Wave1_Catalog!$AP$2:$AP$5000,"&lt;&gt;")/C$6)</f>
        <v/>
      </c>
      <c r="D33" s="20" t="n">
        <f aca="false">IF(D$6=0,"",COUNTIFS(Wave1_Catalog!$B$2:$B$5000,"Vuori",Wave1_Catalog!$AP$2:$AP$5000,"&lt;&gt;")/D$6)</f>
        <v>1</v>
      </c>
      <c r="E33" s="20" t="str">
        <f aca="false">IF(E$6=0,"",COUNTIFS(Wave1_Catalog!$B$2:$B$5000,"Athleta",Wave1_Catalog!$AP$2:$AP$5000,"&lt;&gt;")/E$6)</f>
        <v/>
      </c>
      <c r="F33" s="20" t="str">
        <f aca="false">IF(F$6=0,"",COUNTIFS(Wave1_Catalog!$B$2:$B$5000,"Beyond Yoga",Wave1_Catalog!$AP$2:$AP$5000,"&lt;&gt;")/F$6)</f>
        <v/>
      </c>
    </row>
    <row r="34" customFormat="false" ht="15" hidden="false" customHeight="false" outlineLevel="0" collapsed="false">
      <c r="A34" s="19" t="s">
        <v>222</v>
      </c>
      <c r="B34" s="20" t="str">
        <f aca="false">IF(B$6=0,"",COUNTIFS(Wave1_Catalog!$B$2:$B$5000,"Alo",Wave1_Catalog!$AQ$2:$AQ$5000,"&lt;&gt;")/B$6)</f>
        <v/>
      </c>
      <c r="C34" s="20" t="str">
        <f aca="false">IF(C$6=0,"",COUNTIFS(Wave1_Catalog!$B$2:$B$5000,"lululemon",Wave1_Catalog!$AQ$2:$AQ$5000,"&lt;&gt;")/C$6)</f>
        <v/>
      </c>
      <c r="D34" s="20" t="n">
        <f aca="false">IF(D$6=0,"",COUNTIFS(Wave1_Catalog!$B$2:$B$5000,"Vuori",Wave1_Catalog!$AQ$2:$AQ$5000,"&lt;&gt;")/D$6)</f>
        <v>1</v>
      </c>
      <c r="E34" s="20" t="str">
        <f aca="false">IF(E$6=0,"",COUNTIFS(Wave1_Catalog!$B$2:$B$5000,"Athleta",Wave1_Catalog!$AQ$2:$AQ$5000,"&lt;&gt;")/E$6)</f>
        <v/>
      </c>
      <c r="F34" s="20" t="str">
        <f aca="false">IF(F$6=0,"",COUNTIFS(Wave1_Catalog!$B$2:$B$5000,"Beyond Yoga",Wave1_Catalog!$AQ$2:$AQ$5000,"&lt;&gt;")/F$6)</f>
        <v/>
      </c>
    </row>
    <row r="35" customFormat="false" ht="15" hidden="false" customHeight="false" outlineLevel="0" collapsed="false">
      <c r="A35" s="19" t="s">
        <v>227</v>
      </c>
      <c r="B35" s="20" t="str">
        <f aca="false">IF(B$6=0,"",COUNTIFS(Wave1_Catalog!$B$2:$B$5000,"Alo",Wave1_Catalog!$AR$2:$AR$5000,"&lt;&gt;")/B$6)</f>
        <v/>
      </c>
      <c r="C35" s="20" t="str">
        <f aca="false">IF(C$6=0,"",COUNTIFS(Wave1_Catalog!$B$2:$B$5000,"lululemon",Wave1_Catalog!$AR$2:$AR$5000,"&lt;&gt;")/C$6)</f>
        <v/>
      </c>
      <c r="D35" s="20" t="n">
        <f aca="false">IF(D$6=0,"",COUNTIFS(Wave1_Catalog!$B$2:$B$5000,"Vuori",Wave1_Catalog!$AR$2:$AR$5000,"&lt;&gt;")/D$6)</f>
        <v>0</v>
      </c>
      <c r="E35" s="20" t="str">
        <f aca="false">IF(E$6=0,"",COUNTIFS(Wave1_Catalog!$B$2:$B$5000,"Athleta",Wave1_Catalog!$AR$2:$AR$5000,"&lt;&gt;")/E$6)</f>
        <v/>
      </c>
      <c r="F35" s="20" t="str">
        <f aca="false">IF(F$6=0,"",COUNTIFS(Wave1_Catalog!$B$2:$B$5000,"Beyond Yoga",Wave1_Catalog!$AR$2:$AR$5000,"&lt;&gt;")/F$6)</f>
        <v/>
      </c>
    </row>
    <row r="37" customFormat="false" ht="15" hidden="false" customHeight="false" outlineLevel="0" collapsed="false">
      <c r="A37" s="7" t="s">
        <v>517</v>
      </c>
      <c r="B37" s="19" t="str">
        <f aca="false">IF(B$6=0,"",COUNTIF(B7:B35,"&lt;"&amp;$C$2))</f>
        <v/>
      </c>
      <c r="C37" s="19" t="str">
        <f aca="false">IF(C$6=0,"",COUNTIF(C7:C35,"&lt;"&amp;$C$2))</f>
        <v/>
      </c>
      <c r="D37" s="19" t="n">
        <f aca="false">IF(D$6=0,"",COUNTIF(D7:D35,"&lt;"&amp;$C$2))</f>
        <v>3</v>
      </c>
      <c r="E37" s="19" t="str">
        <f aca="false">IF(E$6=0,"",COUNTIF(E7:E35,"&lt;"&amp;$C$2))</f>
        <v/>
      </c>
      <c r="F37" s="19" t="str">
        <f aca="false">IF(F$6=0,"",COUNTIF(F7:F35,"&lt;"&amp;$C$2))</f>
        <v/>
      </c>
    </row>
    <row r="39" customFormat="false" ht="15" hidden="false" customHeight="false" outlineLevel="0" collapsed="false">
      <c r="A39" s="7" t="s">
        <v>518</v>
      </c>
      <c r="B39" s="8"/>
      <c r="C39" s="8"/>
      <c r="D39" s="8"/>
      <c r="E39" s="8"/>
      <c r="F39" s="8"/>
      <c r="G39" s="6" t="s">
        <v>519</v>
      </c>
    </row>
    <row r="40" customFormat="false" ht="15" hidden="false" customHeight="false" outlineLevel="0" collapsed="false">
      <c r="A40" s="7" t="s">
        <v>520</v>
      </c>
      <c r="B40" s="8"/>
      <c r="C40" s="8"/>
      <c r="D40" s="8"/>
      <c r="E40" s="8"/>
      <c r="F40" s="8"/>
      <c r="G40" s="6" t="s">
        <v>521</v>
      </c>
    </row>
    <row r="41" customFormat="false" ht="15" hidden="false" customHeight="false" outlineLevel="0" collapsed="false">
      <c r="A41" s="7" t="s">
        <v>522</v>
      </c>
      <c r="B41" s="15" t="str">
        <f aca="false">IF(OR(B40="",B40=0,B39=""),"",B39/B40-1)</f>
        <v/>
      </c>
      <c r="C41" s="15" t="str">
        <f aca="false">IF(OR(C40="",C40=0,C39=""),"",C39/C40-1)</f>
        <v/>
      </c>
      <c r="D41" s="15" t="str">
        <f aca="false">IF(OR(D40="",D40=0,D39=""),"",D39/D40-1)</f>
        <v/>
      </c>
      <c r="E41" s="15" t="str">
        <f aca="false">IF(OR(E40="",E40=0,E39=""),"",E39/E40-1)</f>
        <v/>
      </c>
      <c r="F41" s="15" t="str">
        <f aca="false">IF(OR(F40="",F40=0,F39=""),"",F39/F40-1)</f>
        <v/>
      </c>
    </row>
    <row r="42" customFormat="false" ht="15" hidden="false" customHeight="false" outlineLevel="0" collapsed="false">
      <c r="A42" s="7" t="s">
        <v>523</v>
      </c>
      <c r="B42" s="7" t="str">
        <f aca="false">IF(OR(B$6=0,B41=""),"Pending",IF(AND(B37=0,ABS(B41)&lt;=$C$3),"PASS","FAIL"))</f>
        <v>Pending</v>
      </c>
      <c r="C42" s="7" t="str">
        <f aca="false">IF(OR(C$6=0,C41=""),"Pending",IF(AND(C37=0,ABS(C41)&lt;=$C$3),"PASS","FAIL"))</f>
        <v>Pending</v>
      </c>
      <c r="D42" s="7" t="str">
        <f aca="false">IF(OR(D$6=0,D41=""),"Pending",IF(AND(D37=0,ABS(D41)&lt;=$C$3),"PASS","FAIL"))</f>
        <v>Pending</v>
      </c>
      <c r="E42" s="7" t="str">
        <f aca="false">IF(OR(E$6=0,E41=""),"Pending",IF(AND(E37=0,ABS(E41)&lt;=$C$3),"PASS","FAIL"))</f>
        <v>Pending</v>
      </c>
      <c r="F42" s="7" t="str">
        <f aca="false">IF(OR(F$6=0,F41=""),"Pending",IF(AND(F37=0,ABS(F41)&lt;=$C$3),"PASS","FAIL"))</f>
        <v>Pending</v>
      </c>
    </row>
    <row r="44" customFormat="false" ht="15" hidden="false" customHeight="false" outlineLevel="0" collapsed="false">
      <c r="A44" s="6" t="s">
        <v>524</v>
      </c>
    </row>
  </sheetData>
  <conditionalFormatting sqref="B7:F35">
    <cfRule type="expression" priority="2" aboveAverage="0" equalAverage="0" bottom="0" percent="0" rank="0" text="" dxfId="2">
      <formula>AND(B7&lt;&gt;"",B7&lt;$C$2)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4A30"/>
    <pageSetUpPr fitToPage="false"/>
  </sheetPr>
  <dimension ref="A1:J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30"/>
    <col collapsed="false" customWidth="true" hidden="false" outlineLevel="0" max="5" min="5" style="0" width="22"/>
    <col collapsed="false" customWidth="true" hidden="false" outlineLevel="0" max="6" min="6" style="0" width="18"/>
    <col collapsed="false" customWidth="true" hidden="false" outlineLevel="0" max="7" min="7" style="0" width="30"/>
    <col collapsed="false" customWidth="true" hidden="false" outlineLevel="0" max="9" min="8" style="0" width="44"/>
    <col collapsed="false" customWidth="true" hidden="false" outlineLevel="0" max="10" min="10" style="0" width="16"/>
  </cols>
  <sheetData>
    <row r="1" customFormat="false" ht="35.05" hidden="false" customHeight="false" outlineLevel="0" collapsed="false">
      <c r="A1" s="5" t="s">
        <v>426</v>
      </c>
      <c r="B1" s="5" t="s">
        <v>525</v>
      </c>
      <c r="C1" s="5" t="s">
        <v>526</v>
      </c>
      <c r="D1" s="5" t="s">
        <v>527</v>
      </c>
      <c r="E1" s="5" t="s">
        <v>528</v>
      </c>
      <c r="F1" s="5" t="s">
        <v>529</v>
      </c>
      <c r="G1" s="5" t="s">
        <v>530</v>
      </c>
      <c r="H1" s="5" t="s">
        <v>531</v>
      </c>
      <c r="I1" s="5" t="s">
        <v>532</v>
      </c>
      <c r="J1" s="5" t="s">
        <v>533</v>
      </c>
    </row>
    <row r="2" customFormat="false" ht="23.85" hidden="false" customHeight="false" outlineLevel="0" collapsed="false">
      <c r="A2" s="4" t="s">
        <v>395</v>
      </c>
      <c r="B2" s="4" t="s">
        <v>534</v>
      </c>
      <c r="C2" s="4" t="s">
        <v>535</v>
      </c>
      <c r="D2" s="4" t="s">
        <v>536</v>
      </c>
      <c r="E2" s="4" t="s">
        <v>537</v>
      </c>
      <c r="F2" s="4" t="s">
        <v>538</v>
      </c>
      <c r="G2" s="4" t="s">
        <v>539</v>
      </c>
      <c r="H2" s="4" t="s">
        <v>540</v>
      </c>
      <c r="I2" s="4" t="s">
        <v>541</v>
      </c>
      <c r="J2" s="4"/>
    </row>
    <row r="3" customFormat="false" ht="35.05" hidden="false" customHeight="false" outlineLevel="0" collapsed="false">
      <c r="A3" s="4" t="s">
        <v>396</v>
      </c>
      <c r="B3" s="4" t="s">
        <v>542</v>
      </c>
      <c r="C3" s="4" t="s">
        <v>543</v>
      </c>
      <c r="D3" s="4" t="s">
        <v>544</v>
      </c>
      <c r="E3" s="4" t="s">
        <v>545</v>
      </c>
      <c r="F3" s="4" t="s">
        <v>546</v>
      </c>
      <c r="G3" s="4" t="s">
        <v>547</v>
      </c>
      <c r="H3" s="4" t="s">
        <v>548</v>
      </c>
      <c r="I3" s="4" t="s">
        <v>549</v>
      </c>
      <c r="J3" s="4" t="s">
        <v>550</v>
      </c>
    </row>
    <row r="4" customFormat="false" ht="23.85" hidden="false" customHeight="false" outlineLevel="0" collapsed="false">
      <c r="A4" s="4" t="s">
        <v>43</v>
      </c>
      <c r="B4" s="4" t="s">
        <v>551</v>
      </c>
      <c r="C4" s="4" t="s">
        <v>552</v>
      </c>
      <c r="D4" s="4" t="s">
        <v>553</v>
      </c>
      <c r="E4" s="4" t="s">
        <v>554</v>
      </c>
      <c r="F4" s="4" t="s">
        <v>538</v>
      </c>
      <c r="G4" s="4" t="s">
        <v>555</v>
      </c>
      <c r="H4" s="4" t="s">
        <v>556</v>
      </c>
      <c r="I4" s="4" t="s">
        <v>557</v>
      </c>
      <c r="J4" s="4"/>
    </row>
    <row r="5" customFormat="false" ht="23.85" hidden="false" customHeight="false" outlineLevel="0" collapsed="false">
      <c r="A5" s="4" t="s">
        <v>397</v>
      </c>
      <c r="B5" s="4" t="s">
        <v>558</v>
      </c>
      <c r="C5" s="4" t="s">
        <v>559</v>
      </c>
      <c r="D5" s="4" t="s">
        <v>560</v>
      </c>
      <c r="E5" s="4" t="s">
        <v>537</v>
      </c>
      <c r="F5" s="4" t="s">
        <v>292</v>
      </c>
      <c r="G5" s="4" t="s">
        <v>292</v>
      </c>
      <c r="H5" s="4" t="s">
        <v>561</v>
      </c>
      <c r="I5" s="4" t="s">
        <v>562</v>
      </c>
      <c r="J5" s="4"/>
    </row>
    <row r="6" customFormat="false" ht="35.05" hidden="false" customHeight="false" outlineLevel="0" collapsed="false">
      <c r="A6" s="4" t="s">
        <v>398</v>
      </c>
      <c r="B6" s="4" t="s">
        <v>563</v>
      </c>
      <c r="C6" s="4" t="s">
        <v>535</v>
      </c>
      <c r="D6" s="4" t="s">
        <v>564</v>
      </c>
      <c r="E6" s="4" t="s">
        <v>554</v>
      </c>
      <c r="F6" s="4" t="s">
        <v>565</v>
      </c>
      <c r="G6" s="4" t="s">
        <v>539</v>
      </c>
      <c r="H6" s="4" t="s">
        <v>566</v>
      </c>
      <c r="I6" s="4" t="s">
        <v>567</v>
      </c>
      <c r="J6"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2026-09-30T12:05:04Z</dcterms:created>
  <dc:creator>openpyxl</dc:creator>
  <dc:description/>
  <dc:language>en-US</dc:language>
  <cp:lastModifiedBy/>
  <dcterms:modified xsi:type="dcterms:W3CDTF">2026-09-30T12:05:04Z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